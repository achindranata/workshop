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ptmn.sharepoint.com/sites/SPARKForum/Shared Documents/SPARK Forum/SPARK Forum 2026/09 Microsoft AI Training/"/>
    </mc:Choice>
  </mc:AlternateContent>
  <xr:revisionPtr revIDLastSave="306" documentId="8_{F8D687A7-ADDE-40C3-85A9-80983E6AC385}" xr6:coauthVersionLast="47" xr6:coauthVersionMax="47" xr10:uidLastSave="{1D2195B2-3A67-4DA5-B774-4F2E1B2711D1}"/>
  <bookViews>
    <workbookView xWindow="-110" yWindow="-110" windowWidth="19420" windowHeight="11500" activeTab="1" xr2:uid="{A78A4F83-00F6-404F-B90F-2EC8983DF719}"/>
  </bookViews>
  <sheets>
    <sheet name="Key Assumptions RJPP" sheetId="1" r:id="rId1"/>
    <sheet name="Operasional" sheetId="2" r:id="rId2"/>
    <sheet name="Finansial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E18" i="3"/>
  <c r="F18" i="3"/>
  <c r="G18" i="3"/>
  <c r="C18" i="3"/>
  <c r="D5" i="3"/>
  <c r="E5" i="3"/>
  <c r="F5" i="3"/>
  <c r="G5" i="3"/>
  <c r="C5" i="3"/>
  <c r="C14" i="2"/>
  <c r="D14" i="2"/>
  <c r="E14" i="2"/>
  <c r="F14" i="2"/>
  <c r="B14" i="2"/>
  <c r="B12" i="2"/>
  <c r="F12" i="2" l="1"/>
  <c r="G7" i="3" s="1"/>
  <c r="G10" i="3" s="1"/>
  <c r="G13" i="3" s="1"/>
  <c r="G16" i="3" s="1"/>
  <c r="E12" i="2"/>
  <c r="F7" i="3" s="1"/>
  <c r="F10" i="3" s="1"/>
  <c r="F13" i="3" s="1"/>
  <c r="F16" i="3" s="1"/>
  <c r="D12" i="2"/>
  <c r="E93" i="3" s="1"/>
  <c r="E115" i="3" s="1"/>
  <c r="C12" i="2"/>
  <c r="D7" i="3" s="1"/>
  <c r="D10" i="3" s="1"/>
  <c r="D13" i="3" s="1"/>
  <c r="D16" i="3" s="1"/>
  <c r="C6" i="2"/>
  <c r="D6" i="2"/>
  <c r="E6" i="2"/>
  <c r="F6" i="2"/>
  <c r="B6" i="2"/>
  <c r="G204" i="3"/>
  <c r="F204" i="3"/>
  <c r="E204" i="3"/>
  <c r="D204" i="3"/>
  <c r="C204" i="3"/>
  <c r="G159" i="3"/>
  <c r="F159" i="3"/>
  <c r="E159" i="3"/>
  <c r="D159" i="3"/>
  <c r="C159" i="3"/>
  <c r="C153" i="3"/>
  <c r="D150" i="3"/>
  <c r="E147" i="3"/>
  <c r="E152" i="3" s="1"/>
  <c r="D147" i="3"/>
  <c r="D152" i="3" s="1"/>
  <c r="C147" i="3"/>
  <c r="C152" i="3" s="1"/>
  <c r="G144" i="3"/>
  <c r="F144" i="3"/>
  <c r="E144" i="3"/>
  <c r="F142" i="3" s="1"/>
  <c r="D144" i="3"/>
  <c r="E142" i="3" s="1"/>
  <c r="C144" i="3"/>
  <c r="C143" i="3"/>
  <c r="G142" i="3"/>
  <c r="E138" i="3"/>
  <c r="E139" i="3" s="1"/>
  <c r="D138" i="3"/>
  <c r="D139" i="3" s="1"/>
  <c r="C138" i="3"/>
  <c r="C139" i="3" s="1"/>
  <c r="G136" i="3"/>
  <c r="F136" i="3"/>
  <c r="E136" i="3"/>
  <c r="D136" i="3"/>
  <c r="C136" i="3"/>
  <c r="G134" i="3"/>
  <c r="F134" i="3"/>
  <c r="G132" i="3" s="1"/>
  <c r="G133" i="3" s="1"/>
  <c r="E134" i="3"/>
  <c r="E133" i="3" s="1"/>
  <c r="D134" i="3"/>
  <c r="D133" i="3" s="1"/>
  <c r="C134" i="3"/>
  <c r="D132" i="3" s="1"/>
  <c r="C133" i="3"/>
  <c r="E132" i="3"/>
  <c r="G128" i="3"/>
  <c r="F128" i="3"/>
  <c r="E128" i="3"/>
  <c r="D128" i="3"/>
  <c r="C128" i="3"/>
  <c r="C123" i="3"/>
  <c r="E122" i="3"/>
  <c r="D122" i="3"/>
  <c r="D123" i="3" s="1"/>
  <c r="E120" i="3" s="1"/>
  <c r="E123" i="3" s="1"/>
  <c r="F120" i="3" s="1"/>
  <c r="C122" i="3"/>
  <c r="E121" i="3"/>
  <c r="D121" i="3"/>
  <c r="C121" i="3"/>
  <c r="D120" i="3"/>
  <c r="G117" i="3"/>
  <c r="F117" i="3"/>
  <c r="E117" i="3"/>
  <c r="D117" i="3"/>
  <c r="C117" i="3"/>
  <c r="G116" i="3"/>
  <c r="F116" i="3"/>
  <c r="E116" i="3"/>
  <c r="D116" i="3"/>
  <c r="C116" i="3"/>
  <c r="C113" i="3"/>
  <c r="E106" i="3"/>
  <c r="E112" i="3" s="1"/>
  <c r="D106" i="3"/>
  <c r="C106" i="3"/>
  <c r="E105" i="3"/>
  <c r="E111" i="3" s="1"/>
  <c r="D105" i="3"/>
  <c r="D111" i="3" s="1"/>
  <c r="C105" i="3"/>
  <c r="E104" i="3"/>
  <c r="D104" i="3"/>
  <c r="E110" i="3" s="1"/>
  <c r="C104" i="3"/>
  <c r="D110" i="3" s="1"/>
  <c r="E103" i="3"/>
  <c r="D103" i="3"/>
  <c r="E109" i="3" s="1"/>
  <c r="C103" i="3"/>
  <c r="D109" i="3" s="1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4" i="3"/>
  <c r="F94" i="3"/>
  <c r="E94" i="3"/>
  <c r="D94" i="3"/>
  <c r="C94" i="3"/>
  <c r="G92" i="3"/>
  <c r="F92" i="3"/>
  <c r="E92" i="3"/>
  <c r="D92" i="3"/>
  <c r="C92" i="3"/>
  <c r="G90" i="3"/>
  <c r="F90" i="3"/>
  <c r="E90" i="3"/>
  <c r="D90" i="3"/>
  <c r="C90" i="3"/>
  <c r="G60" i="3"/>
  <c r="F60" i="3"/>
  <c r="E60" i="3"/>
  <c r="D60" i="3"/>
  <c r="C60" i="3"/>
  <c r="G50" i="3"/>
  <c r="E50" i="3"/>
  <c r="D50" i="3"/>
  <c r="C50" i="3"/>
  <c r="G48" i="3"/>
  <c r="F48" i="3"/>
  <c r="F50" i="3" s="1"/>
  <c r="C45" i="3"/>
  <c r="C52" i="3" s="1"/>
  <c r="C54" i="3" s="1"/>
  <c r="G44" i="3"/>
  <c r="F44" i="3"/>
  <c r="E42" i="3"/>
  <c r="E45" i="3" s="1"/>
  <c r="E52" i="3" s="1"/>
  <c r="E54" i="3" s="1"/>
  <c r="D42" i="3"/>
  <c r="D45" i="3" s="1"/>
  <c r="C42" i="3"/>
  <c r="E33" i="3"/>
  <c r="E37" i="3" s="1"/>
  <c r="D33" i="3"/>
  <c r="D37" i="3" s="1"/>
  <c r="C33" i="3"/>
  <c r="C37" i="3" s="1"/>
  <c r="G27" i="3"/>
  <c r="F27" i="3"/>
  <c r="E27" i="3"/>
  <c r="D27" i="3"/>
  <c r="C27" i="3"/>
  <c r="C7" i="3"/>
  <c r="G93" i="3" l="1"/>
  <c r="G115" i="3" s="1"/>
  <c r="G122" i="3" s="1"/>
  <c r="E7" i="3"/>
  <c r="E10" i="3" s="1"/>
  <c r="E13" i="3" s="1"/>
  <c r="E16" i="3" s="1"/>
  <c r="E95" i="3" s="1"/>
  <c r="F93" i="3"/>
  <c r="F115" i="3" s="1"/>
  <c r="F123" i="3" s="1"/>
  <c r="G120" i="3" s="1"/>
  <c r="C10" i="3"/>
  <c r="C13" i="3" s="1"/>
  <c r="C16" i="3" s="1"/>
  <c r="C95" i="3" s="1"/>
  <c r="F105" i="3"/>
  <c r="F40" i="3" s="1"/>
  <c r="F42" i="3" s="1"/>
  <c r="F45" i="3" s="1"/>
  <c r="F52" i="3" s="1"/>
  <c r="D112" i="3"/>
  <c r="C142" i="3"/>
  <c r="F104" i="3"/>
  <c r="F32" i="3" s="1"/>
  <c r="F132" i="3"/>
  <c r="F133" i="3" s="1"/>
  <c r="G104" i="3"/>
  <c r="G32" i="3" s="1"/>
  <c r="C120" i="3"/>
  <c r="D142" i="3"/>
  <c r="D143" i="3" s="1"/>
  <c r="F138" i="3"/>
  <c r="F139" i="3" s="1"/>
  <c r="G143" i="3"/>
  <c r="D52" i="3"/>
  <c r="D54" i="3" s="1"/>
  <c r="G138" i="3"/>
  <c r="G139" i="3" s="1"/>
  <c r="G95" i="3"/>
  <c r="G106" i="3" s="1"/>
  <c r="F95" i="3"/>
  <c r="F106" i="3" s="1"/>
  <c r="D113" i="3"/>
  <c r="D95" i="3"/>
  <c r="E113" i="3"/>
  <c r="F143" i="3"/>
  <c r="C93" i="3"/>
  <c r="C115" i="3" s="1"/>
  <c r="D93" i="3"/>
  <c r="D115" i="3" s="1"/>
  <c r="G105" i="3"/>
  <c r="E143" i="3"/>
  <c r="C132" i="3"/>
  <c r="F110" i="3" l="1"/>
  <c r="F122" i="3"/>
  <c r="F121" i="3" s="1"/>
  <c r="G123" i="3"/>
  <c r="G35" i="3" s="1"/>
  <c r="G37" i="3" s="1"/>
  <c r="G103" i="3"/>
  <c r="G31" i="3" s="1"/>
  <c r="G33" i="3" s="1"/>
  <c r="F35" i="3"/>
  <c r="F37" i="3" s="1"/>
  <c r="F54" i="3" s="1"/>
  <c r="F103" i="3"/>
  <c r="G110" i="3"/>
  <c r="F111" i="3"/>
  <c r="C19" i="3"/>
  <c r="C146" i="3" s="1"/>
  <c r="C151" i="3" s="1"/>
  <c r="C150" i="3" s="1"/>
  <c r="D19" i="3"/>
  <c r="D146" i="3" s="1"/>
  <c r="D151" i="3" s="1"/>
  <c r="D153" i="3" s="1"/>
  <c r="E150" i="3" s="1"/>
  <c r="E19" i="3"/>
  <c r="E146" i="3" s="1"/>
  <c r="E151" i="3" s="1"/>
  <c r="G111" i="3"/>
  <c r="G40" i="3"/>
  <c r="G42" i="3" s="1"/>
  <c r="G45" i="3" s="1"/>
  <c r="G52" i="3" s="1"/>
  <c r="F112" i="3"/>
  <c r="F41" i="3"/>
  <c r="F19" i="3"/>
  <c r="G19" i="3"/>
  <c r="G112" i="3"/>
  <c r="G41" i="3"/>
  <c r="G54" i="3" l="1"/>
  <c r="G121" i="3"/>
  <c r="F109" i="3"/>
  <c r="F113" i="3" s="1"/>
  <c r="G109" i="3"/>
  <c r="G113" i="3" s="1"/>
  <c r="F31" i="3"/>
  <c r="F33" i="3" s="1"/>
  <c r="E153" i="3"/>
  <c r="F150" i="3" s="1"/>
  <c r="F146" i="3"/>
  <c r="F151" i="3" s="1"/>
  <c r="F21" i="3"/>
  <c r="F147" i="3" s="1"/>
  <c r="F152" i="3" s="1"/>
  <c r="G146" i="3"/>
  <c r="G151" i="3" s="1"/>
  <c r="G21" i="3"/>
  <c r="G147" i="3" s="1"/>
  <c r="G152" i="3" s="1"/>
  <c r="F153" i="3" l="1"/>
  <c r="G150" i="3" s="1"/>
  <c r="G153" i="3" s="1"/>
  <c r="G49" i="3" s="1"/>
  <c r="F49" i="3" l="1"/>
</calcChain>
</file>

<file path=xl/sharedStrings.xml><?xml version="1.0" encoding="utf-8"?>
<sst xmlns="http://schemas.openxmlformats.org/spreadsheetml/2006/main" count="175" uniqueCount="113">
  <si>
    <t>Key Assumptions RJPP 2026-2030 PT ABC Energy</t>
  </si>
  <si>
    <t>Parameter</t>
  </si>
  <si>
    <t>Year 2026</t>
  </si>
  <si>
    <t>Year 2027</t>
  </si>
  <si>
    <t>Year 2028</t>
  </si>
  <si>
    <t>Year 2029</t>
  </si>
  <si>
    <t>Year 2030</t>
  </si>
  <si>
    <t>Kurs USD/IDR</t>
  </si>
  <si>
    <t>Income Statement</t>
  </si>
  <si>
    <t>All figures in USD thousands unless stated</t>
  </si>
  <si>
    <t>Revenues</t>
  </si>
  <si>
    <t>Cost of Goods Sold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</si>
  <si>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</si>
  <si>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</si>
  <si>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</si>
  <si>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</si>
  <si>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</si>
  <si>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</si>
  <si>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</t>
  </si>
  <si>
    <t>Taxes (22%)</t>
  </si>
  <si>
    <t>Net Income</t>
  </si>
  <si>
    <t>Common Dividends</t>
  </si>
  <si>
    <t>Alternative: Forecast Share Count and Dividends per Share</t>
  </si>
  <si>
    <t>Balance Sheet</t>
  </si>
  <si>
    <t>ASSETS</t>
  </si>
  <si>
    <t>Cash</t>
  </si>
  <si>
    <t>Trade and Other Receivables</t>
  </si>
  <si>
    <t>Inventories</t>
  </si>
  <si>
    <t>Total Current Assets</t>
  </si>
  <si>
    <t>Property Plant and Equipment</t>
  </si>
  <si>
    <t>TOTAL ASSETS</t>
  </si>
  <si>
    <t>LIABILITIES</t>
  </si>
  <si>
    <t>Trade and Other Payables</t>
  </si>
  <si>
    <t>Income Taxes Payable</t>
  </si>
  <si>
    <t>Total Current Liabilities</t>
  </si>
  <si>
    <t>Long-Term Debt</t>
  </si>
  <si>
    <t>Total Liabilities</t>
  </si>
  <si>
    <t>EQUITY</t>
  </si>
  <si>
    <t>Common Stock and Additional Paid-In Capital</t>
  </si>
  <si>
    <t>Retained Earnings</t>
  </si>
  <si>
    <t>Total Shareholders' Equity</t>
  </si>
  <si>
    <t>Total Liabilities &amp; Equity</t>
  </si>
  <si>
    <t>Balance Sheet Check</t>
  </si>
  <si>
    <t>Cash Flow Statement</t>
  </si>
  <si>
    <t>Cash Flows from Operating Activities</t>
  </si>
  <si>
    <t>Depreciation</t>
  </si>
  <si>
    <t>Changes in Operating Assets and Liabilities:</t>
  </si>
  <si>
    <t>Investing Activities</t>
  </si>
  <si>
    <t>Acquisitions of Property and Equipment</t>
  </si>
  <si>
    <t>Cash Flows from Investing Activities</t>
  </si>
  <si>
    <t>Financing Activities</t>
  </si>
  <si>
    <t>Issuance of Common Stock</t>
  </si>
  <si>
    <t>Dividends (current year)</t>
  </si>
  <si>
    <t>Increase/(Decrease) in Long-Term Debt</t>
  </si>
  <si>
    <t>Cash Flows from Financing Activities</t>
  </si>
  <si>
    <t>Cash and Equivalents, Beginning of the Year</t>
  </si>
  <si>
    <t>Increase/(Decrease) in Cash and Equivalents</t>
  </si>
  <si>
    <t>Cash and Equivalents, End of the Year</t>
  </si>
  <si>
    <t>Working Capital and PP&amp;E Schedule</t>
  </si>
  <si>
    <t>Days in Period</t>
  </si>
  <si>
    <t>Revenue</t>
  </si>
  <si>
    <t>Taxes</t>
  </si>
  <si>
    <t>(Days)</t>
  </si>
  <si>
    <t>Inventory</t>
  </si>
  <si>
    <t>Income Tax Payable (Percent of Taxes)</t>
  </si>
  <si>
    <t>Working Capital</t>
  </si>
  <si>
    <t>Income Tax Payable</t>
  </si>
  <si>
    <t>Cash Changes from Working Capital</t>
  </si>
  <si>
    <t>Cash from Working Capital Items</t>
  </si>
  <si>
    <t>Capital Asset Turnover Ratio</t>
  </si>
  <si>
    <t>(x)</t>
  </si>
  <si>
    <t>Depreciation (Percent of Sales)</t>
  </si>
  <si>
    <t>Property, Plant &amp; Equipment (PP&amp;E)</t>
  </si>
  <si>
    <t>Beginning of Period</t>
  </si>
  <si>
    <t>Capital Expenditures/Additions (Disposals)</t>
  </si>
  <si>
    <t>Depreciation Expense</t>
  </si>
  <si>
    <t>Net PP&amp;E, End of Period</t>
  </si>
  <si>
    <t>Capital Structure Schedules</t>
  </si>
  <si>
    <t/>
  </si>
  <si>
    <t>Long Term Debt (LTD)</t>
  </si>
  <si>
    <t>Additions (Repayments)</t>
  </si>
  <si>
    <t>LTD, End of Period</t>
  </si>
  <si>
    <t>Long-Term Debt Interest (Average Debt)</t>
  </si>
  <si>
    <t>Long Term Debt Interest</t>
  </si>
  <si>
    <t>Total Interest</t>
  </si>
  <si>
    <t>Common Stock, End of Period</t>
  </si>
  <si>
    <t>Dividends</t>
  </si>
  <si>
    <t>Retained Earnings (RE)</t>
  </si>
  <si>
    <t>RE, End of Period</t>
  </si>
  <si>
    <t>Charts &amp; Graphs</t>
  </si>
  <si>
    <t>EBITDA Margin</t>
  </si>
  <si>
    <t>Net Income Margin</t>
  </si>
  <si>
    <t>Cash Flow</t>
  </si>
  <si>
    <t>Operating</t>
  </si>
  <si>
    <t>Investing</t>
  </si>
  <si>
    <t>Financing</t>
  </si>
  <si>
    <t>Change in Cash</t>
  </si>
  <si>
    <t>Capital Expenditure</t>
  </si>
  <si>
    <t>Domestic Investment</t>
  </si>
  <si>
    <t>International Investment</t>
  </si>
  <si>
    <t>M&amp;A Investment</t>
  </si>
  <si>
    <t>CAPEX</t>
  </si>
  <si>
    <t>Harga Listrik USD/kwH</t>
  </si>
  <si>
    <t>Volume Kapasitas Terpasang dan Produksi Listrik New Energy</t>
  </si>
  <si>
    <t>Geothermal</t>
  </si>
  <si>
    <t>PLTS</t>
  </si>
  <si>
    <t>Other New Energy</t>
  </si>
  <si>
    <t>Kaspasitas Terpasang (MW)</t>
  </si>
  <si>
    <t>Produksi Listrik (GWh)</t>
  </si>
  <si>
    <t>Total Kapasitas Terpasang (MW)</t>
  </si>
  <si>
    <t>Total Produksi Listrik (GWh)</t>
  </si>
  <si>
    <t>PLTSa</t>
  </si>
  <si>
    <t>Total Produksi Listrik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</si>
</sst>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&quot;Year &quot;0;&quot;Year &quot;\-0"/>
    <numFmt numFmtId="166" formatCode="_-* #,##0_-;\-* #,##0_-;_-* &quot;-&quot;??_-;_-@_-"/>
    <numFmt numFmtId="167" formatCode="_-* #,##0_-;\(#,##0\)_-;_-* &quot;-&quot;_-;_-@_-"/>
    <numFmt numFmtId="168" formatCode="#,##0_);\(#,##0\);\-"/>
    <numFmt numFmtId="169" formatCode="_(#,##0_);\(#,##0\);_(&quot;–&quot;_);_(@_)"/>
    <numFmt numFmtId="170" formatCode="_(* #,##0_);_(* \(#,##0\);_(* &quot;-&quot;??_);_(@_)"/>
    <numFmt numFmtId="171" formatCode="0&quot;A&quot;"/>
    <numFmt numFmtId="172" formatCode="0&quot;F&quot;"/>
    <numFmt numFmtId="173" formatCode="#,##0_);[Red]\(#,##0\);\-"/>
    <numFmt numFmtId="174" formatCode="_(#,##0.0%_);\(#,##0.0%\);_(&quot;–&quot;_);_(@_)"/>
    <numFmt numFmtId="175" formatCode="_(0.00\x_);\(0.00\x\);_(&quot;–&quot;_);_(@_)"/>
    <numFmt numFmtId="176" formatCode="0.0%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3271D2"/>
      <name val="Aptos Narrow"/>
      <family val="2"/>
      <scheme val="minor"/>
    </font>
    <font>
      <b/>
      <sz val="14"/>
      <color rgb="FF3271D2"/>
      <name val="Open Sans"/>
      <family val="2"/>
    </font>
    <font>
      <b/>
      <sz val="10"/>
      <color rgb="FF000000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0"/>
      <name val="Bookman"/>
      <family val="1"/>
    </font>
    <font>
      <b/>
      <i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Open Sans"/>
      <family val="2"/>
    </font>
    <font>
      <b/>
      <sz val="10"/>
      <color rgb="FF0000FF"/>
      <name val="Open Sans"/>
      <family val="2"/>
    </font>
    <font>
      <sz val="10"/>
      <color rgb="FF3271D2"/>
      <name val="Open Sans"/>
      <family val="2"/>
    </font>
    <font>
      <sz val="10"/>
      <color rgb="FF0000FF"/>
      <name val="Open Sans"/>
      <family val="2"/>
    </font>
    <font>
      <i/>
      <sz val="9"/>
      <color rgb="FF000000"/>
      <name val="Open Sans"/>
      <family val="2"/>
    </font>
    <font>
      <i/>
      <sz val="10"/>
      <name val="Open Sans"/>
      <family val="2"/>
    </font>
    <font>
      <b/>
      <sz val="10"/>
      <color rgb="FF947131"/>
      <name val="Open Sans"/>
      <family val="2"/>
    </font>
    <font>
      <sz val="10"/>
      <name val="Bookman"/>
    </font>
    <font>
      <i/>
      <sz val="8"/>
      <name val="Open Sans"/>
      <family val="2"/>
    </font>
    <font>
      <sz val="10"/>
      <color rgb="FFFA621C"/>
      <name val="Open Sans"/>
      <family val="2"/>
    </font>
    <font>
      <i/>
      <sz val="10"/>
      <color rgb="FF00000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6F6F6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271D2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24">
    <xf numFmtId="0" fontId="0" fillId="0" borderId="0" xfId="0"/>
    <xf numFmtId="37" fontId="4" fillId="2" borderId="0" xfId="2" applyNumberFormat="1" applyFont="1" applyFill="1" applyAlignment="1">
      <alignment vertical="center"/>
    </xf>
    <xf numFmtId="37" fontId="5" fillId="2" borderId="0" xfId="2" applyNumberFormat="1" applyFont="1" applyFill="1" applyAlignment="1">
      <alignment vertical="center"/>
    </xf>
    <xf numFmtId="165" fontId="6" fillId="0" borderId="1" xfId="2" applyNumberFormat="1" applyFont="1" applyBorder="1" applyAlignment="1">
      <alignment horizontal="left" vertical="center"/>
    </xf>
    <xf numFmtId="165" fontId="6" fillId="0" borderId="1" xfId="2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166" fontId="0" fillId="0" borderId="0" xfId="1" applyNumberFormat="1" applyFont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166" fontId="0" fillId="0" borderId="0" xfId="1" applyNumberFormat="1" applyFont="1" applyAlignment="1">
      <alignment horizontal="center"/>
    </xf>
    <xf numFmtId="37" fontId="7" fillId="0" borderId="0" xfId="2" applyNumberFormat="1" applyFont="1" applyAlignment="1">
      <alignment vertical="center"/>
    </xf>
    <xf numFmtId="37" fontId="5" fillId="0" borderId="0" xfId="2" applyNumberFormat="1" applyFont="1" applyAlignment="1">
      <alignment vertical="center"/>
    </xf>
    <xf numFmtId="37" fontId="8" fillId="0" borderId="0" xfId="2" applyNumberFormat="1" applyFont="1"/>
    <xf numFmtId="167" fontId="10" fillId="0" borderId="0" xfId="3" applyNumberFormat="1" applyFont="1" applyFill="1" applyAlignment="1" applyProtection="1">
      <alignment horizontal="left"/>
      <protection locked="0"/>
    </xf>
    <xf numFmtId="167" fontId="11" fillId="0" borderId="0" xfId="3" applyNumberFormat="1" applyFont="1" applyFill="1" applyAlignment="1" applyProtection="1">
      <alignment horizontal="left"/>
      <protection locked="0"/>
    </xf>
    <xf numFmtId="165" fontId="12" fillId="0" borderId="1" xfId="2" applyNumberFormat="1" applyFont="1" applyBorder="1" applyAlignment="1">
      <alignment horizontal="right" vertical="center"/>
    </xf>
    <xf numFmtId="37" fontId="7" fillId="0" borderId="0" xfId="2" applyNumberFormat="1" applyFont="1"/>
    <xf numFmtId="0" fontId="13" fillId="0" borderId="0" xfId="2" applyFont="1"/>
    <xf numFmtId="0" fontId="14" fillId="0" borderId="0" xfId="2" applyFont="1"/>
    <xf numFmtId="0" fontId="15" fillId="0" borderId="0" xfId="2" applyFont="1"/>
    <xf numFmtId="168" fontId="15" fillId="0" borderId="0" xfId="2" applyNumberFormat="1" applyFont="1"/>
    <xf numFmtId="0" fontId="16" fillId="0" borderId="0" xfId="2" applyFont="1"/>
    <xf numFmtId="0" fontId="14" fillId="0" borderId="0" xfId="2" applyFont="1" applyAlignment="1">
      <alignment horizontal="left" indent="1"/>
    </xf>
    <xf numFmtId="166" fontId="2" fillId="3" borderId="0" xfId="1" applyNumberFormat="1" applyFont="1" applyFill="1" applyAlignment="1">
      <alignment horizontal="center"/>
    </xf>
    <xf numFmtId="169" fontId="2" fillId="3" borderId="0" xfId="2" applyNumberFormat="1" applyFont="1" applyFill="1" applyAlignment="1">
      <alignment horizontal="center"/>
    </xf>
    <xf numFmtId="169" fontId="2" fillId="4" borderId="0" xfId="2" applyNumberFormat="1" applyFont="1" applyFill="1" applyAlignment="1">
      <alignment horizontal="center"/>
    </xf>
    <xf numFmtId="0" fontId="15" fillId="0" borderId="0" xfId="2" applyFont="1" applyAlignment="1">
      <alignment horizontal="left" indent="1"/>
    </xf>
    <xf numFmtId="170" fontId="1" fillId="3" borderId="0" xfId="1" applyNumberFormat="1" applyFont="1" applyFill="1" applyAlignment="1">
      <alignment horizontal="center"/>
    </xf>
    <xf numFmtId="9" fontId="2" fillId="3" borderId="0" xfId="2" applyNumberFormat="1" applyFont="1" applyFill="1" applyAlignment="1">
      <alignment horizontal="center"/>
    </xf>
    <xf numFmtId="0" fontId="3" fillId="0" borderId="0" xfId="2"/>
    <xf numFmtId="169" fontId="17" fillId="0" borderId="0" xfId="2" applyNumberFormat="1" applyFont="1"/>
    <xf numFmtId="169" fontId="16" fillId="0" borderId="0" xfId="2" applyNumberFormat="1" applyFont="1"/>
    <xf numFmtId="169" fontId="18" fillId="0" borderId="0" xfId="2" applyNumberFormat="1" applyFont="1"/>
    <xf numFmtId="169" fontId="8" fillId="5" borderId="0" xfId="2" applyNumberFormat="1" applyFont="1" applyFill="1"/>
    <xf numFmtId="0" fontId="13" fillId="0" borderId="0" xfId="2" applyFont="1" applyAlignment="1">
      <alignment horizontal="left" indent="1"/>
    </xf>
    <xf numFmtId="169" fontId="8" fillId="0" borderId="0" xfId="2" applyNumberFormat="1" applyFont="1"/>
    <xf numFmtId="0" fontId="13" fillId="0" borderId="4" xfId="2" applyFont="1" applyBorder="1"/>
    <xf numFmtId="168" fontId="19" fillId="0" borderId="4" xfId="2" applyNumberFormat="1" applyFont="1" applyBorder="1"/>
    <xf numFmtId="168" fontId="13" fillId="0" borderId="4" xfId="2" applyNumberFormat="1" applyFont="1" applyBorder="1"/>
    <xf numFmtId="168" fontId="13" fillId="0" borderId="0" xfId="2" applyNumberFormat="1" applyFont="1"/>
    <xf numFmtId="167" fontId="20" fillId="0" borderId="0" xfId="3" applyNumberFormat="1" applyFont="1" applyFill="1" applyAlignment="1" applyProtection="1">
      <alignment horizontal="left"/>
      <protection locked="0"/>
    </xf>
    <xf numFmtId="165" fontId="6" fillId="0" borderId="5" xfId="2" applyNumberFormat="1" applyFont="1" applyBorder="1" applyAlignment="1">
      <alignment horizontal="right" vertical="center"/>
    </xf>
    <xf numFmtId="171" fontId="6" fillId="0" borderId="0" xfId="2" applyNumberFormat="1" applyFont="1" applyAlignment="1">
      <alignment horizontal="right" vertical="center"/>
    </xf>
    <xf numFmtId="172" fontId="6" fillId="0" borderId="0" xfId="2" applyNumberFormat="1" applyFont="1" applyAlignment="1">
      <alignment horizontal="right" vertical="center"/>
    </xf>
    <xf numFmtId="0" fontId="19" fillId="0" borderId="0" xfId="2" applyFont="1"/>
    <xf numFmtId="168" fontId="8" fillId="0" borderId="0" xfId="2" applyNumberFormat="1" applyFont="1"/>
    <xf numFmtId="169" fontId="8" fillId="5" borderId="2" xfId="2" applyNumberFormat="1" applyFont="1" applyFill="1" applyBorder="1"/>
    <xf numFmtId="173" fontId="8" fillId="0" borderId="0" xfId="2" applyNumberFormat="1" applyFont="1"/>
    <xf numFmtId="0" fontId="16" fillId="0" borderId="0" xfId="2" applyFont="1" applyAlignment="1">
      <alignment horizontal="left" indent="1"/>
    </xf>
    <xf numFmtId="169" fontId="19" fillId="0" borderId="0" xfId="2" applyNumberFormat="1" applyFont="1"/>
    <xf numFmtId="169" fontId="13" fillId="0" borderId="0" xfId="2" applyNumberFormat="1" applyFont="1"/>
    <xf numFmtId="169" fontId="6" fillId="5" borderId="3" xfId="2" applyNumberFormat="1" applyFont="1" applyFill="1" applyBorder="1"/>
    <xf numFmtId="173" fontId="6" fillId="0" borderId="0" xfId="2" applyNumberFormat="1" applyFont="1"/>
    <xf numFmtId="0" fontId="13" fillId="0" borderId="0" xfId="2" applyFont="1" applyAlignment="1">
      <alignment horizontal="left"/>
    </xf>
    <xf numFmtId="169" fontId="6" fillId="5" borderId="2" xfId="2" applyNumberFormat="1" applyFont="1" applyFill="1" applyBorder="1"/>
    <xf numFmtId="169" fontId="6" fillId="0" borderId="0" xfId="2" applyNumberFormat="1" applyFont="1"/>
    <xf numFmtId="0" fontId="8" fillId="0" borderId="0" xfId="2" applyFont="1"/>
    <xf numFmtId="0" fontId="21" fillId="0" borderId="0" xfId="2" applyFont="1" applyAlignment="1">
      <alignment horizontal="left" indent="1"/>
    </xf>
    <xf numFmtId="0" fontId="21" fillId="0" borderId="0" xfId="2" applyFont="1"/>
    <xf numFmtId="0" fontId="22" fillId="0" borderId="0" xfId="2" applyFont="1"/>
    <xf numFmtId="0" fontId="21" fillId="0" borderId="4" xfId="2" applyFont="1" applyBorder="1"/>
    <xf numFmtId="169" fontId="8" fillId="0" borderId="4" xfId="2" applyNumberFormat="1" applyFont="1" applyBorder="1"/>
    <xf numFmtId="169" fontId="5" fillId="0" borderId="0" xfId="2" applyNumberFormat="1" applyFont="1" applyAlignment="1">
      <alignment vertical="center"/>
    </xf>
    <xf numFmtId="169" fontId="6" fillId="0" borderId="0" xfId="2" applyNumberFormat="1" applyFont="1" applyAlignment="1">
      <alignment horizontal="right" vertical="center"/>
    </xf>
    <xf numFmtId="169" fontId="19" fillId="0" borderId="0" xfId="2" applyNumberFormat="1" applyFont="1" applyAlignment="1">
      <alignment horizontal="right"/>
    </xf>
    <xf numFmtId="169" fontId="13" fillId="0" borderId="0" xfId="2" applyNumberFormat="1" applyFont="1" applyAlignment="1">
      <alignment horizontal="right"/>
    </xf>
    <xf numFmtId="0" fontId="13" fillId="0" borderId="0" xfId="2" applyFont="1" applyAlignment="1">
      <alignment horizontal="left" indent="2"/>
    </xf>
    <xf numFmtId="169" fontId="13" fillId="0" borderId="4" xfId="2" applyNumberFormat="1" applyFont="1" applyBorder="1"/>
    <xf numFmtId="169" fontId="8" fillId="5" borderId="6" xfId="2" applyNumberFormat="1" applyFont="1" applyFill="1" applyBorder="1"/>
    <xf numFmtId="169" fontId="8" fillId="5" borderId="7" xfId="4" applyNumberFormat="1" applyFont="1" applyFill="1" applyBorder="1"/>
    <xf numFmtId="169" fontId="8" fillId="5" borderId="0" xfId="4" applyNumberFormat="1" applyFont="1" applyFill="1" applyBorder="1"/>
    <xf numFmtId="169" fontId="8" fillId="5" borderId="8" xfId="4" applyNumberFormat="1" applyFont="1" applyFill="1" applyBorder="1"/>
    <xf numFmtId="169" fontId="8" fillId="5" borderId="4" xfId="4" applyNumberFormat="1" applyFont="1" applyFill="1" applyBorder="1"/>
    <xf numFmtId="169" fontId="13" fillId="0" borderId="0" xfId="4" applyNumberFormat="1" applyFont="1" applyFill="1"/>
    <xf numFmtId="169" fontId="19" fillId="0" borderId="0" xfId="4" applyNumberFormat="1" applyFont="1" applyFill="1"/>
    <xf numFmtId="0" fontId="24" fillId="0" borderId="0" xfId="2" applyFont="1" applyAlignment="1">
      <alignment horizontal="center"/>
    </xf>
    <xf numFmtId="174" fontId="13" fillId="5" borderId="0" xfId="4" applyNumberFormat="1" applyFont="1" applyFill="1"/>
    <xf numFmtId="169" fontId="8" fillId="5" borderId="0" xfId="4" applyNumberFormat="1" applyFont="1" applyFill="1"/>
    <xf numFmtId="169" fontId="8" fillId="0" borderId="0" xfId="4" applyNumberFormat="1" applyFont="1" applyFill="1"/>
    <xf numFmtId="0" fontId="6" fillId="0" borderId="0" xfId="2" applyFont="1" applyAlignment="1">
      <alignment horizontal="left"/>
    </xf>
    <xf numFmtId="169" fontId="18" fillId="0" borderId="0" xfId="4" applyNumberFormat="1" applyFont="1" applyFill="1"/>
    <xf numFmtId="169" fontId="18" fillId="0" borderId="0" xfId="4" applyNumberFormat="1" applyFont="1" applyFill="1" applyBorder="1"/>
    <xf numFmtId="169" fontId="8" fillId="5" borderId="0" xfId="4" applyNumberFormat="1" applyFont="1" applyFill="1" applyBorder="1" applyAlignment="1">
      <alignment horizontal="right"/>
    </xf>
    <xf numFmtId="169" fontId="8" fillId="5" borderId="3" xfId="4" applyNumberFormat="1" applyFont="1" applyFill="1" applyBorder="1"/>
    <xf numFmtId="169" fontId="8" fillId="0" borderId="0" xfId="4" applyNumberFormat="1" applyFont="1" applyFill="1" applyBorder="1"/>
    <xf numFmtId="169" fontId="8" fillId="5" borderId="6" xfId="2" applyNumberFormat="1" applyFont="1" applyFill="1" applyBorder="1" applyAlignment="1">
      <alignment horizontal="right" vertical="center"/>
    </xf>
    <xf numFmtId="169" fontId="8" fillId="5" borderId="2" xfId="2" applyNumberFormat="1" applyFont="1" applyFill="1" applyBorder="1" applyAlignment="1">
      <alignment horizontal="right" vertical="center"/>
    </xf>
    <xf numFmtId="175" fontId="8" fillId="5" borderId="7" xfId="2" applyNumberFormat="1" applyFont="1" applyFill="1" applyBorder="1" applyAlignment="1">
      <alignment horizontal="right" vertical="center"/>
    </xf>
    <xf numFmtId="175" fontId="8" fillId="5" borderId="0" xfId="2" applyNumberFormat="1" applyFont="1" applyFill="1" applyAlignment="1">
      <alignment horizontal="right" vertical="center"/>
    </xf>
    <xf numFmtId="174" fontId="8" fillId="5" borderId="8" xfId="2" applyNumberFormat="1" applyFont="1" applyFill="1" applyBorder="1" applyAlignment="1">
      <alignment horizontal="right" vertical="center"/>
    </xf>
    <xf numFmtId="174" fontId="8" fillId="5" borderId="4" xfId="2" applyNumberFormat="1" applyFont="1" applyFill="1" applyBorder="1" applyAlignment="1">
      <alignment horizontal="right" vertical="center"/>
    </xf>
    <xf numFmtId="167" fontId="20" fillId="0" borderId="0" xfId="3" applyNumberFormat="1" applyFont="1" applyFill="1" applyAlignment="1" applyProtection="1">
      <alignment horizontal="left" indent="1"/>
      <protection locked="0"/>
    </xf>
    <xf numFmtId="0" fontId="25" fillId="0" borderId="0" xfId="2" applyFont="1"/>
    <xf numFmtId="0" fontId="8" fillId="0" borderId="4" xfId="2" applyFont="1" applyBorder="1"/>
    <xf numFmtId="169" fontId="8" fillId="5" borderId="0" xfId="2" applyNumberFormat="1" applyFont="1" applyFill="1" applyAlignment="1">
      <alignment horizontal="right"/>
    </xf>
    <xf numFmtId="174" fontId="13" fillId="5" borderId="9" xfId="2" applyNumberFormat="1" applyFont="1" applyFill="1" applyBorder="1"/>
    <xf numFmtId="174" fontId="13" fillId="5" borderId="10" xfId="2" applyNumberFormat="1" applyFont="1" applyFill="1" applyBorder="1"/>
    <xf numFmtId="174" fontId="13" fillId="0" borderId="0" xfId="2" applyNumberFormat="1" applyFont="1"/>
    <xf numFmtId="169" fontId="13" fillId="5" borderId="0" xfId="2" applyNumberFormat="1" applyFont="1" applyFill="1"/>
    <xf numFmtId="169" fontId="16" fillId="5" borderId="2" xfId="2" applyNumberFormat="1" applyFont="1" applyFill="1" applyBorder="1"/>
    <xf numFmtId="169" fontId="13" fillId="5" borderId="6" xfId="2" applyNumberFormat="1" applyFont="1" applyFill="1" applyBorder="1"/>
    <xf numFmtId="169" fontId="13" fillId="5" borderId="2" xfId="2" applyNumberFormat="1" applyFont="1" applyFill="1" applyBorder="1"/>
    <xf numFmtId="169" fontId="13" fillId="5" borderId="8" xfId="2" applyNumberFormat="1" applyFont="1" applyFill="1" applyBorder="1"/>
    <xf numFmtId="169" fontId="13" fillId="5" borderId="4" xfId="2" applyNumberFormat="1" applyFont="1" applyFill="1" applyBorder="1"/>
    <xf numFmtId="169" fontId="6" fillId="5" borderId="11" xfId="2" applyNumberFormat="1" applyFont="1" applyFill="1" applyBorder="1"/>
    <xf numFmtId="0" fontId="21" fillId="0" borderId="0" xfId="2" applyFont="1" applyAlignment="1">
      <alignment horizontal="left" indent="2"/>
    </xf>
    <xf numFmtId="174" fontId="26" fillId="5" borderId="2" xfId="4" applyNumberFormat="1" applyFont="1" applyFill="1" applyBorder="1"/>
    <xf numFmtId="176" fontId="26" fillId="0" borderId="0" xfId="4" applyNumberFormat="1" applyFont="1" applyBorder="1"/>
    <xf numFmtId="169" fontId="8" fillId="5" borderId="3" xfId="2" applyNumberFormat="1" applyFont="1" applyFill="1" applyBorder="1"/>
    <xf numFmtId="37" fontId="5" fillId="2" borderId="0" xfId="2" applyNumberFormat="1" applyFont="1" applyFill="1" applyAlignment="1">
      <alignment horizontal="centerContinuous" vertical="distributed"/>
    </xf>
    <xf numFmtId="37" fontId="5" fillId="2" borderId="0" xfId="2" applyNumberFormat="1" applyFont="1" applyFill="1" applyAlignment="1">
      <alignment horizontal="centerContinuous" vertical="center"/>
    </xf>
    <xf numFmtId="166" fontId="15" fillId="0" borderId="0" xfId="1" applyNumberFormat="1" applyFont="1" applyAlignment="1">
      <alignment horizontal="center"/>
    </xf>
    <xf numFmtId="166" fontId="15" fillId="0" borderId="12" xfId="1" applyNumberFormat="1" applyFont="1" applyBorder="1" applyAlignment="1">
      <alignment horizontal="center"/>
    </xf>
    <xf numFmtId="166" fontId="14" fillId="0" borderId="13" xfId="1" applyNumberFormat="1" applyFont="1" applyBorder="1" applyAlignment="1">
      <alignment horizontal="center"/>
    </xf>
    <xf numFmtId="0" fontId="6" fillId="0" borderId="1" xfId="2" applyFont="1" applyBorder="1" applyAlignment="1">
      <alignment horizontal="right" vertical="center"/>
    </xf>
    <xf numFmtId="9" fontId="0" fillId="0" borderId="0" xfId="0" applyNumberFormat="1"/>
    <xf numFmtId="166" fontId="8" fillId="0" borderId="1" xfId="1" applyNumberFormat="1" applyFont="1" applyBorder="1" applyAlignment="1">
      <alignment horizontal="right" vertical="center"/>
    </xf>
    <xf numFmtId="166" fontId="2" fillId="4" borderId="2" xfId="1" applyNumberFormat="1" applyFont="1" applyFill="1" applyBorder="1" applyAlignment="1">
      <alignment horizontal="center"/>
    </xf>
    <xf numFmtId="169" fontId="1" fillId="3" borderId="0" xfId="2" applyNumberFormat="1" applyFont="1" applyFill="1" applyAlignment="1">
      <alignment horizontal="right"/>
    </xf>
    <xf numFmtId="169" fontId="1" fillId="4" borderId="0" xfId="2" applyNumberFormat="1" applyFont="1" applyFill="1" applyAlignment="1">
      <alignment horizontal="right"/>
    </xf>
    <xf numFmtId="169" fontId="2" fillId="4" borderId="2" xfId="2" applyNumberFormat="1" applyFont="1" applyFill="1" applyBorder="1" applyAlignment="1">
      <alignment horizontal="right"/>
    </xf>
    <xf numFmtId="169" fontId="2" fillId="3" borderId="0" xfId="2" applyNumberFormat="1" applyFont="1" applyFill="1" applyAlignment="1">
      <alignment horizontal="right"/>
    </xf>
    <xf numFmtId="169" fontId="2" fillId="4" borderId="3" xfId="2" applyNumberFormat="1" applyFont="1" applyFill="1" applyBorder="1" applyAlignment="1">
      <alignment horizontal="right"/>
    </xf>
  </cellXfs>
  <cellStyles count="5">
    <cellStyle name="Comma" xfId="1" builtinId="3"/>
    <cellStyle name="Comma 2" xfId="3" xr:uid="{36B84AC5-F588-4A1B-A84A-EF93299C6CB3}"/>
    <cellStyle name="Normal" xfId="0" builtinId="0"/>
    <cellStyle name="Normal 2" xfId="2" xr:uid="{DE9F99DF-ABCE-414A-9E6C-EA77DE892A6E}"/>
    <cellStyle name="Percent 2" xfId="4" xr:uid="{89336241-904C-4617-8C13-BB64FD785AE6}"/>
  </cellStyles>
  <dxfs count="1">
    <dxf>
      <font>
        <b/>
        <i val="0"/>
        <strike val="0"/>
        <color theme="0"/>
      </font>
      <fill>
        <patternFill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[1]Model!$D$192:$K$192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[1]Model!$B$192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A22-4682-9CEE-C8885EA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[1]Model!$D$194:$K$194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[1]Model!$B$194</c15:sqref>
                        </c15:formulaRef>
                      </c:ext>
                    </c:extLst>
                    <c:strCache>
                      <c:ptCount val="1"/>
                      <c:pt idx="0">
                        <c:v>EBITDA Margin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A22-4682-9CEE-C8885EA8A89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[1]Model!$D$197:$K$197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[1]Model!$B$197</c15:sqref>
                        </c15:formulaRef>
                      </c:ext>
                    </c:extLst>
                    <c:strCache>
                      <c:ptCount val="1"/>
                      <c:pt idx="0">
                        <c:v>Net Income Margin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A22-4682-9CEE-C8885EA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  <c:max val="0.3000000000000000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[1]Model!$D$201:$K$201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[1]Model!$B$201</c15:sqref>
                        </c15:formulaRef>
                      </c:ext>
                    </c:extLst>
                    <c:strCache>
                      <c:ptCount val="1"/>
                      <c:pt idx="0">
                        <c:v>Investing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2BF-4741-B03B-3F9D08490794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[1]Model!$D$202:$K$202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[1]Model!$B$202</c15:sqref>
                        </c15:formulaRef>
                      </c:ext>
                    </c:extLst>
                    <c:strCache>
                      <c:ptCount val="1"/>
                      <c:pt idx="0">
                        <c:v>Financing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2BF-4741-B03B-3F9D08490794}"/>
            </c:ext>
          </c:extLst>
        </c:ser>
        <c:ser>
          <c:idx val="0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[1]Model!$D$200:$K$200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[1]Model!$B$200</c15:sqref>
                        </c15:formulaRef>
                      </c:ext>
                    </c:extLst>
                    <c:strCache>
                      <c:ptCount val="1"/>
                      <c:pt idx="0">
                        <c:v>Operating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2BF-4741-B03B-3F9D0849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[1]Model!$D$203:$K$203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[1]Model!$B$203</c15:sqref>
                        </c15:formulaRef>
                      </c:ext>
                    </c:extLst>
                    <c:strCache>
                      <c:ptCount val="1"/>
                      <c:pt idx="0">
                        <c:v>Change in Cash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2BF-4741-B03B-3F9D0849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86634672331237528"/>
          <c:h val="7.8017217999649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56110</xdr:colOff>
      <xdr:row>176</xdr:row>
      <xdr:rowOff>85090</xdr:rowOff>
    </xdr:from>
    <xdr:to>
      <xdr:col>3</xdr:col>
      <xdr:colOff>900198</xdr:colOff>
      <xdr:row>191</xdr:row>
      <xdr:rowOff>149051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6F73C-4D48-4D7E-9C02-E5338192A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871104</xdr:colOff>
      <xdr:row>176</xdr:row>
      <xdr:rowOff>96405</xdr:rowOff>
    </xdr:from>
    <xdr:to>
      <xdr:col>7</xdr:col>
      <xdr:colOff>0</xdr:colOff>
      <xdr:row>191</xdr:row>
      <xdr:rowOff>162906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87329-BA25-4CFB-8A52-6235E0787B58}"/>
            </a:ext>
            <a:ext uri="{147F2762-F138-4A5C-976F-8EAC2B608ADB}">
              <a16:predDERef xmlns:a16="http://schemas.microsoft.com/office/drawing/2014/main" pred="{BD5C08A7-A10E-4587-BC59-B629E5740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ptmn-my.sharepoint.com/personal/jethro_hasoloan_pertamina_com/Documents/S&amp;I%20Persero/Format%20CFI.xlsx" TargetMode="External"/><Relationship Id="rId1" Type="http://schemas.openxmlformats.org/officeDocument/2006/relationships/externalLinkPath" Target="Format%20C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Cover"/>
      <sheetName val="Model-R"/>
    </sheetNames>
    <sheetDataSet>
      <sheetData sheetId="0">
        <row r="5">
          <cell r="D5">
            <v>-2</v>
          </cell>
          <cell r="E5">
            <v>-1</v>
          </cell>
          <cell r="F5">
            <v>0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</row>
        <row r="192">
          <cell r="B192" t="str">
            <v>Revenue</v>
          </cell>
        </row>
        <row r="194">
          <cell r="B194" t="str">
            <v>EBITDA Margin</v>
          </cell>
        </row>
        <row r="197">
          <cell r="B197" t="str">
            <v>Net Income Margin</v>
          </cell>
        </row>
        <row r="200">
          <cell r="B200" t="str">
            <v>Operating</v>
          </cell>
        </row>
        <row r="201">
          <cell r="B201" t="str">
            <v>Investing</v>
          </cell>
        </row>
        <row r="202">
          <cell r="B202" t="str">
            <v>Financing</v>
          </cell>
        </row>
        <row r="203">
          <cell r="B203" t="str">
            <v>Change in Cash</v>
          </cell>
        </row>
      </sheetData>
      <sheetData sheetId="1"/>
      <sheetData sheetId="2">
        <row r="10">
          <cell r="O1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8D96-8829-416F-A8AD-5A0B21B80B3C}">
  <sheetPr codeName="Sheet1"/>
  <dimension ref="A1:G7"/>
  <sheetViews>
    <sheetView workbookViewId="0">
      <selection activeCell="B8" sqref="B8"/>
    </sheetView>
  </sheetViews>
  <sheetFormatPr defaultRowHeight="14.5"/>
  <cols>
    <col min="1" max="1" width="46.36328125" bestFit="1" customWidth="1"/>
    <col min="2" max="2" width="16" customWidth="1"/>
    <col min="3" max="3" width="18.08984375" customWidth="1"/>
    <col min="4" max="4" width="18.6328125" customWidth="1"/>
    <col min="5" max="5" width="17.08984375" customWidth="1"/>
    <col min="6" max="6" width="18.54296875" customWidth="1"/>
  </cols>
  <sheetData>
    <row r="1" spans="1:7" ht="16.25" customHeight="1">
      <c r="A1" s="1" t="s">
        <v>0</v>
      </c>
      <c r="B1" s="2"/>
      <c r="C1" s="2"/>
      <c r="D1" s="2"/>
      <c r="E1" s="2"/>
      <c r="F1" s="2"/>
      <c r="G1" s="2"/>
    </row>
    <row r="2" spans="1:7" ht="15" thickBo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7">
      <c r="A3" s="5" t="s">
        <v>102</v>
      </c>
      <c r="B3">
        <v>0.08</v>
      </c>
      <c r="C3">
        <v>8.2000000000000003E-2</v>
      </c>
      <c r="D3">
        <v>8.5000000000000006E-2</v>
      </c>
      <c r="E3">
        <v>8.6999999999999994E-2</v>
      </c>
      <c r="F3">
        <v>0.09</v>
      </c>
    </row>
    <row r="4" spans="1:7">
      <c r="A4" s="5" t="s">
        <v>7</v>
      </c>
      <c r="B4" s="6">
        <v>16500</v>
      </c>
      <c r="C4" s="6">
        <v>17000</v>
      </c>
      <c r="D4" s="6">
        <v>17500</v>
      </c>
      <c r="E4" s="6">
        <v>18000</v>
      </c>
      <c r="F4" s="6">
        <v>18500</v>
      </c>
    </row>
    <row r="5" spans="1:7">
      <c r="A5" s="5"/>
    </row>
    <row r="6" spans="1:7">
      <c r="A6" s="5"/>
    </row>
    <row r="7" spans="1:7">
      <c r="A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11E5-5125-4BDE-ABF2-81445AA90171}">
  <sheetPr codeName="Sheet2"/>
  <dimension ref="A1:G17"/>
  <sheetViews>
    <sheetView tabSelected="1" zoomScale="115" zoomScaleNormal="115" workbookViewId="0">
      <selection activeCell="D12" sqref="D12"/>
    </sheetView>
  </sheetViews>
  <sheetFormatPr defaultRowHeight="14.5"/>
  <cols>
    <col min="1" max="1" width="54.81640625" bestFit="1" customWidth="1"/>
    <col min="2" max="2" width="19.6328125" customWidth="1"/>
    <col min="3" max="3" width="20.6328125" customWidth="1"/>
    <col min="4" max="4" width="18.90625" customWidth="1"/>
    <col min="5" max="5" width="22" customWidth="1"/>
    <col min="6" max="6" width="18.36328125" customWidth="1"/>
  </cols>
  <sheetData>
    <row r="1" spans="1:7" ht="15.65" customHeight="1">
      <c r="A1" s="1" t="s">
        <v>103</v>
      </c>
      <c r="B1" s="2"/>
      <c r="C1" s="2"/>
      <c r="D1" s="2"/>
      <c r="E1" s="2"/>
      <c r="F1" s="2"/>
      <c r="G1" s="2"/>
    </row>
    <row r="2" spans="1:7" s="9" customFormat="1" ht="15" thickBot="1">
      <c r="A2" s="7" t="s">
        <v>107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8"/>
    </row>
    <row r="3" spans="1:7">
      <c r="A3" t="s">
        <v>104</v>
      </c>
      <c r="B3">
        <v>880</v>
      </c>
      <c r="C3">
        <v>960</v>
      </c>
      <c r="D3">
        <v>1300</v>
      </c>
      <c r="E3">
        <v>1400</v>
      </c>
      <c r="F3">
        <v>1600</v>
      </c>
    </row>
    <row r="4" spans="1:7">
      <c r="A4" t="s">
        <v>105</v>
      </c>
      <c r="B4" s="10">
        <v>160</v>
      </c>
      <c r="C4" s="10">
        <v>280</v>
      </c>
      <c r="D4" s="10">
        <v>320</v>
      </c>
      <c r="E4" s="10">
        <v>480</v>
      </c>
      <c r="F4" s="10">
        <v>500</v>
      </c>
    </row>
    <row r="5" spans="1:7">
      <c r="A5" t="s">
        <v>111</v>
      </c>
      <c r="B5">
        <v>50</v>
      </c>
      <c r="C5">
        <v>50</v>
      </c>
      <c r="D5">
        <v>50</v>
      </c>
      <c r="E5">
        <v>50</v>
      </c>
      <c r="F5">
        <v>50</v>
      </c>
    </row>
    <row r="6" spans="1:7" ht="15" thickBot="1">
      <c r="A6" s="7" t="s">
        <v>109</v>
      </c>
      <c r="B6" s="115">
        <f>SUM(B3:B5)</f>
        <v>1090</v>
      </c>
      <c r="C6" s="115">
        <f t="shared" ref="C6:F6" si="0">SUM(C3:C5)</f>
        <v>1290</v>
      </c>
      <c r="D6" s="115">
        <f t="shared" si="0"/>
        <v>1670</v>
      </c>
      <c r="E6" s="115">
        <f t="shared" si="0"/>
        <v>1930</v>
      </c>
      <c r="F6" s="115">
        <f t="shared" si="0"/>
        <v>2150</v>
      </c>
    </row>
    <row r="7" spans="1:7">
      <c r="A7" s="7"/>
    </row>
    <row r="8" spans="1:7" ht="15" thickBot="1">
      <c r="A8" s="7" t="s">
        <v>108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</row>
    <row r="9" spans="1:7">
      <c r="A9" t="s">
        <v>104</v>
      </c>
      <c r="B9">
        <v>5280</v>
      </c>
      <c r="C9">
        <v>5760</v>
      </c>
      <c r="D9">
        <v>9100</v>
      </c>
      <c r="E9">
        <v>9800</v>
      </c>
      <c r="F9">
        <v>11200</v>
      </c>
    </row>
    <row r="10" spans="1:7">
      <c r="A10" t="s">
        <v>105</v>
      </c>
      <c r="B10" s="10">
        <v>40</v>
      </c>
      <c r="C10" s="10">
        <v>70</v>
      </c>
      <c r="D10" s="10">
        <v>160</v>
      </c>
      <c r="E10" s="10">
        <v>240</v>
      </c>
      <c r="F10" s="10">
        <v>250</v>
      </c>
    </row>
    <row r="11" spans="1:7" s="7" customFormat="1">
      <c r="A11" t="s">
        <v>106</v>
      </c>
      <c r="B11">
        <v>7</v>
      </c>
      <c r="C11">
        <v>42</v>
      </c>
      <c r="D11">
        <v>43</v>
      </c>
      <c r="E11">
        <v>44</v>
      </c>
      <c r="F11">
        <v>45</v>
      </c>
    </row>
    <row r="12" spans="1:7" ht="15" thickBot="1">
      <c r="A12" s="7" t="s">
        <v>110</v>
      </c>
      <c r="B12" s="115">
        <f>SUM(B9:B11)</f>
        <v>5327</v>
      </c>
      <c r="C12" s="115">
        <f t="shared" ref="C12" si="1">SUM(C9:C11)</f>
        <v>5872</v>
      </c>
      <c r="D12" s="115">
        <f t="shared" ref="D12" si="2">SUM(D9:D11)</f>
        <v>9303</v>
      </c>
      <c r="E12" s="115">
        <f t="shared" ref="E12" si="3">SUM(E9:E11)</f>
        <v>10084</v>
      </c>
      <c r="F12" s="115">
        <f t="shared" ref="F12" si="4">SUM(F9:F11)</f>
        <v>11495</v>
      </c>
    </row>
    <row r="13" spans="1:7">
      <c r="B13" s="6"/>
      <c r="C13" s="6"/>
      <c r="D13" s="6"/>
      <c r="E13" s="6"/>
      <c r="F13" s="6"/>
    </row>
    <row r="14" spans="1:7" ht="15" thickBot="1">
      <c r="A14" t="s">
        <v>112</v>
      </c>
      <c r="B14" s="117">
        <f>B12*1000000</f>
        <v>5327000000</v>
      </c>
      <c r="C14" s="117">
        <f t="shared" ref="C14:F14" si="5">C12*1000000</f>
        <v>5872000000</v>
      </c>
      <c r="D14" s="117">
        <f t="shared" si="5"/>
        <v>9303000000</v>
      </c>
      <c r="E14" s="117">
        <f t="shared" si="5"/>
        <v>10084000000</v>
      </c>
      <c r="F14" s="117">
        <f t="shared" si="5"/>
        <v>11495000000</v>
      </c>
    </row>
    <row r="16" spans="1:7">
      <c r="A16" s="7"/>
    </row>
    <row r="17" spans="2:6">
      <c r="B17" s="116"/>
      <c r="C17" s="116"/>
      <c r="D17" s="116"/>
      <c r="E17" s="116"/>
      <c r="F17" s="1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F08E-0DCF-493B-816A-688A63F445A5}">
  <sheetPr codeName="Sheet3"/>
  <dimension ref="A1:M204"/>
  <sheetViews>
    <sheetView workbookViewId="0">
      <selection activeCell="C6" sqref="C6"/>
    </sheetView>
  </sheetViews>
  <sheetFormatPr defaultRowHeight="14.5" outlineLevelRow="1"/>
  <cols>
    <col min="1" max="1" width="47.54296875" bestFit="1" customWidth="1"/>
    <col min="2" max="2" width="5.36328125" bestFit="1" customWidth="1"/>
    <col min="3" max="3" width="16.6328125" bestFit="1" customWidth="1"/>
    <col min="4" max="5" width="15.36328125" bestFit="1" customWidth="1"/>
    <col min="6" max="7" width="15" bestFit="1" customWidth="1"/>
  </cols>
  <sheetData>
    <row r="1" spans="1:13" s="11" customFormat="1" ht="15" customHeight="1">
      <c r="A1" s="1" t="s">
        <v>8</v>
      </c>
      <c r="B1" s="2"/>
      <c r="C1" s="2"/>
      <c r="D1" s="2"/>
      <c r="E1" s="2"/>
      <c r="F1" s="2"/>
      <c r="G1" s="2"/>
    </row>
    <row r="2" spans="1:13" s="11" customFormat="1" ht="15" customHeight="1" outlineLevel="1">
      <c r="A2" s="12"/>
      <c r="B2" s="12"/>
      <c r="C2" s="12"/>
      <c r="D2" s="12"/>
      <c r="E2" s="12"/>
      <c r="F2" s="12"/>
      <c r="G2" s="12"/>
    </row>
    <row r="3" spans="1:13" s="17" customFormat="1" ht="15" customHeight="1" outlineLevel="1" thickBot="1">
      <c r="A3" s="14" t="s">
        <v>9</v>
      </c>
      <c r="B3" s="15"/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I3" s="13"/>
      <c r="J3" s="13"/>
      <c r="K3" s="13"/>
      <c r="L3" s="13"/>
      <c r="M3" s="13"/>
    </row>
    <row r="4" spans="1:13" s="18" customFormat="1" ht="15" customHeight="1" outlineLevel="1">
      <c r="A4" s="19"/>
      <c r="B4" s="19"/>
      <c r="C4" s="20"/>
      <c r="D4" s="20"/>
      <c r="E4" s="20"/>
      <c r="F4" s="21"/>
      <c r="G4" s="21"/>
    </row>
    <row r="5" spans="1:13" s="22" customFormat="1" ht="15" customHeight="1" outlineLevel="1">
      <c r="A5" s="23" t="s">
        <v>10</v>
      </c>
      <c r="B5" s="23"/>
      <c r="C5" s="24">
        <f>(Operasional!B14*'Key Assumptions RJPP'!B3)/1000</f>
        <v>426160</v>
      </c>
      <c r="D5" s="24">
        <f>(Operasional!C14*'Key Assumptions RJPP'!C3)/1000</f>
        <v>481504</v>
      </c>
      <c r="E5" s="24">
        <f>(Operasional!D14*'Key Assumptions RJPP'!D3)/1000</f>
        <v>790755</v>
      </c>
      <c r="F5" s="24">
        <f>(Operasional!E14*'Key Assumptions RJPP'!E3)/1000</f>
        <v>877307.99999999988</v>
      </c>
      <c r="G5" s="24">
        <f>(Operasional!F14*'Key Assumptions RJPP'!F3)/1000</f>
        <v>1034550</v>
      </c>
    </row>
    <row r="6" spans="1:13" s="18" customFormat="1" ht="15" customHeight="1" outlineLevel="1">
      <c r="A6" s="27" t="s">
        <v>11</v>
      </c>
      <c r="B6" s="27"/>
      <c r="C6" s="28">
        <v>-191772</v>
      </c>
      <c r="D6" s="28">
        <v>-211862</v>
      </c>
      <c r="E6" s="28">
        <v>-332117</v>
      </c>
      <c r="F6" s="28">
        <v>-359696</v>
      </c>
      <c r="G6" s="28">
        <v>-413820</v>
      </c>
    </row>
    <row r="7" spans="1:13" s="18" customFormat="1" ht="15" customHeight="1" outlineLevel="1">
      <c r="A7" s="23" t="s">
        <v>12</v>
      </c>
      <c r="B7" s="23"/>
      <c r="C7" s="118">
        <f>SUM(C5:C6)</f>
        <v>234388</v>
      </c>
      <c r="D7" s="121">
        <f t="shared" ref="D7:G7" si="0">SUM(D5:D6)</f>
        <v>269642</v>
      </c>
      <c r="E7" s="121">
        <f t="shared" si="0"/>
        <v>458638</v>
      </c>
      <c r="F7" s="121">
        <f t="shared" si="0"/>
        <v>517611.99999999988</v>
      </c>
      <c r="G7" s="121">
        <f t="shared" si="0"/>
        <v>620730</v>
      </c>
    </row>
    <row r="8" spans="1:13" s="18" customFormat="1" ht="15" customHeight="1" outlineLevel="1">
      <c r="A8" s="23"/>
      <c r="B8" s="23"/>
      <c r="C8" s="25"/>
      <c r="D8" s="25"/>
      <c r="E8" s="25"/>
      <c r="F8" s="29"/>
      <c r="G8" s="25"/>
    </row>
    <row r="9" spans="1:13" s="18" customFormat="1" ht="15" customHeight="1" outlineLevel="1">
      <c r="A9" s="27" t="s">
        <v>13</v>
      </c>
      <c r="B9" s="27"/>
      <c r="C9" s="119">
        <v>-34093</v>
      </c>
      <c r="D9" s="119">
        <v>-38520</v>
      </c>
      <c r="E9" s="119">
        <v>-63260</v>
      </c>
      <c r="F9" s="120">
        <v>-70185</v>
      </c>
      <c r="G9" s="120">
        <v>-82764</v>
      </c>
    </row>
    <row r="10" spans="1:13" s="22" customFormat="1" ht="15" customHeight="1" outlineLevel="1">
      <c r="A10" s="23" t="s">
        <v>14</v>
      </c>
      <c r="B10" s="23"/>
      <c r="C10" s="121">
        <f t="shared" ref="C10:G10" si="1">SUM(C7:C9)</f>
        <v>200295</v>
      </c>
      <c r="D10" s="121">
        <f>SUM(D7:D9)</f>
        <v>231122</v>
      </c>
      <c r="E10" s="121">
        <f t="shared" si="1"/>
        <v>395378</v>
      </c>
      <c r="F10" s="121">
        <f t="shared" si="1"/>
        <v>447426.99999999988</v>
      </c>
      <c r="G10" s="121">
        <f t="shared" si="1"/>
        <v>537966</v>
      </c>
    </row>
    <row r="11" spans="1:13" s="22" customFormat="1" ht="15" customHeight="1" outlineLevel="1">
      <c r="A11" s="23"/>
      <c r="B11" s="23"/>
      <c r="C11" s="25"/>
      <c r="D11" s="25"/>
      <c r="E11" s="25"/>
      <c r="F11" s="26"/>
      <c r="G11" s="26"/>
    </row>
    <row r="12" spans="1:13" s="18" customFormat="1" ht="15" customHeight="1" outlineLevel="1">
      <c r="A12" s="27" t="s">
        <v>15</v>
      </c>
      <c r="B12" s="27"/>
      <c r="C12" s="119">
        <v>-42616</v>
      </c>
      <c r="D12" s="119">
        <v>-48150</v>
      </c>
      <c r="E12" s="119">
        <v>-79076</v>
      </c>
      <c r="F12" s="120">
        <v>-87731</v>
      </c>
      <c r="G12" s="120">
        <v>-103455</v>
      </c>
    </row>
    <row r="13" spans="1:13" s="18" customFormat="1" ht="15" customHeight="1" outlineLevel="1">
      <c r="A13" s="23" t="s">
        <v>16</v>
      </c>
      <c r="B13" s="23"/>
      <c r="C13" s="121">
        <f t="shared" ref="C13:G13" si="2">SUM(C10:C12)</f>
        <v>157679</v>
      </c>
      <c r="D13" s="121">
        <f t="shared" si="2"/>
        <v>182972</v>
      </c>
      <c r="E13" s="121">
        <f t="shared" si="2"/>
        <v>316302</v>
      </c>
      <c r="F13" s="121">
        <f t="shared" si="2"/>
        <v>359695.99999999988</v>
      </c>
      <c r="G13" s="121">
        <f t="shared" si="2"/>
        <v>434511</v>
      </c>
    </row>
    <row r="14" spans="1:13" s="18" customFormat="1" ht="15" customHeight="1" outlineLevel="1">
      <c r="A14" s="23"/>
      <c r="B14" s="23"/>
      <c r="C14" s="122"/>
      <c r="D14" s="122"/>
      <c r="E14" s="122"/>
      <c r="F14" s="122"/>
      <c r="G14" s="122"/>
    </row>
    <row r="15" spans="1:13" s="18" customFormat="1" ht="15" customHeight="1" outlineLevel="1">
      <c r="A15" s="27" t="s">
        <v>17</v>
      </c>
      <c r="B15" s="27"/>
      <c r="C15" s="119">
        <v>-12000</v>
      </c>
      <c r="D15" s="119">
        <v>-12000</v>
      </c>
      <c r="E15" s="119">
        <v>-12000</v>
      </c>
      <c r="F15" s="119">
        <v>-12000</v>
      </c>
      <c r="G15" s="119">
        <v>-12000</v>
      </c>
    </row>
    <row r="16" spans="1:13" s="18" customFormat="1" ht="15" customHeight="1" outlineLevel="1">
      <c r="A16" s="23" t="s">
        <v>18</v>
      </c>
      <c r="B16" s="27"/>
      <c r="C16" s="121">
        <f t="shared" ref="C16:G16" si="3">SUM(C13:C15)</f>
        <v>145679</v>
      </c>
      <c r="D16" s="121">
        <f t="shared" si="3"/>
        <v>170972</v>
      </c>
      <c r="E16" s="121">
        <f t="shared" si="3"/>
        <v>304302</v>
      </c>
      <c r="F16" s="121">
        <f t="shared" si="3"/>
        <v>347695.99999999988</v>
      </c>
      <c r="G16" s="121">
        <f t="shared" si="3"/>
        <v>422511</v>
      </c>
    </row>
    <row r="17" spans="1:9" s="18" customFormat="1" ht="15" customHeight="1" outlineLevel="1">
      <c r="A17" s="27"/>
      <c r="B17" s="27"/>
      <c r="C17" s="119"/>
      <c r="D17" s="119"/>
      <c r="E17" s="119"/>
      <c r="F17" s="119"/>
      <c r="G17" s="119"/>
    </row>
    <row r="18" spans="1:9" s="18" customFormat="1" ht="15" customHeight="1" outlineLevel="1">
      <c r="A18" s="27" t="s">
        <v>19</v>
      </c>
      <c r="B18" s="27"/>
      <c r="C18" s="119">
        <f>-(0.22*C16)</f>
        <v>-32049.38</v>
      </c>
      <c r="D18" s="119">
        <f t="shared" ref="D18:G18" si="4">-(0.22*D16)</f>
        <v>-37613.840000000004</v>
      </c>
      <c r="E18" s="119">
        <f t="shared" si="4"/>
        <v>-66946.44</v>
      </c>
      <c r="F18" s="119">
        <f t="shared" si="4"/>
        <v>-76493.119999999981</v>
      </c>
      <c r="G18" s="119">
        <f t="shared" si="4"/>
        <v>-92952.42</v>
      </c>
      <c r="I18" s="30"/>
    </row>
    <row r="19" spans="1:9" s="18" customFormat="1" ht="15" customHeight="1" outlineLevel="1" thickBot="1">
      <c r="A19" s="23" t="s">
        <v>20</v>
      </c>
      <c r="B19" s="23"/>
      <c r="C19" s="123">
        <f t="shared" ref="C19:G19" si="5">SUM(C16:C18)</f>
        <v>113629.62</v>
      </c>
      <c r="D19" s="123">
        <f t="shared" si="5"/>
        <v>133358.16</v>
      </c>
      <c r="E19" s="123">
        <f t="shared" si="5"/>
        <v>237355.56</v>
      </c>
      <c r="F19" s="123">
        <f t="shared" si="5"/>
        <v>271202.87999999989</v>
      </c>
      <c r="G19" s="123">
        <f t="shared" si="5"/>
        <v>329558.58</v>
      </c>
    </row>
    <row r="20" spans="1:9" s="18" customFormat="1" ht="15" customHeight="1" outlineLevel="1">
      <c r="A20" s="22"/>
      <c r="B20" s="22"/>
      <c r="C20" s="31"/>
      <c r="D20" s="31"/>
      <c r="E20" s="31"/>
      <c r="F20" s="32"/>
      <c r="G20" s="32"/>
    </row>
    <row r="21" spans="1:9" s="18" customFormat="1" ht="15" hidden="1" customHeight="1" outlineLevel="1">
      <c r="A21" s="18" t="s">
        <v>21</v>
      </c>
      <c r="C21" s="33">
        <v>4312</v>
      </c>
      <c r="D21" s="33">
        <v>4209</v>
      </c>
      <c r="E21" s="33">
        <v>2930.9750848000026</v>
      </c>
      <c r="F21" s="34" t="e">
        <f>#REF!*F19</f>
        <v>#REF!</v>
      </c>
      <c r="G21" s="34" t="e">
        <f>#REF!*G19</f>
        <v>#REF!</v>
      </c>
      <c r="I21" s="35" t="s">
        <v>22</v>
      </c>
    </row>
    <row r="22" spans="1:9" s="18" customFormat="1" ht="15" customHeight="1" outlineLevel="1">
      <c r="C22" s="33"/>
      <c r="D22" s="33"/>
      <c r="E22" s="33"/>
      <c r="F22" s="36"/>
      <c r="G22" s="36"/>
    </row>
    <row r="23" spans="1:9" s="18" customFormat="1" ht="15" customHeight="1" outlineLevel="1">
      <c r="A23" s="37"/>
      <c r="B23" s="37"/>
      <c r="C23" s="38"/>
      <c r="D23" s="38"/>
      <c r="E23" s="38"/>
      <c r="F23" s="39"/>
      <c r="G23" s="39"/>
    </row>
    <row r="24" spans="1:9" s="18" customFormat="1" ht="15" hidden="1" customHeight="1">
      <c r="F24" s="40"/>
      <c r="G24" s="40"/>
    </row>
    <row r="25" spans="1:9" s="11" customFormat="1" ht="15" hidden="1" customHeight="1">
      <c r="A25" s="2" t="s">
        <v>23</v>
      </c>
      <c r="B25" s="2"/>
      <c r="C25" s="2"/>
      <c r="D25" s="2"/>
      <c r="E25" s="2"/>
      <c r="F25" s="2"/>
      <c r="G25" s="2"/>
    </row>
    <row r="26" spans="1:9" s="11" customFormat="1" ht="15" hidden="1" customHeight="1" outlineLevel="1">
      <c r="A26" s="12"/>
      <c r="B26" s="12"/>
      <c r="C26" s="12"/>
      <c r="D26" s="12"/>
      <c r="E26" s="12"/>
      <c r="F26" s="12"/>
      <c r="G26" s="12"/>
    </row>
    <row r="27" spans="1:9" s="18" customFormat="1" ht="15" hidden="1" customHeight="1" outlineLevel="1">
      <c r="A27" s="41" t="s">
        <v>9</v>
      </c>
      <c r="B27" s="41"/>
      <c r="C27" s="4" t="e">
        <f>+#REF!</f>
        <v>#REF!</v>
      </c>
      <c r="D27" s="4" t="e">
        <f>+#REF!</f>
        <v>#REF!</v>
      </c>
      <c r="E27" s="4" t="e">
        <f>+#REF!</f>
        <v>#REF!</v>
      </c>
      <c r="F27" s="42" t="e">
        <f>+#REF!</f>
        <v>#REF!</v>
      </c>
      <c r="G27" s="42" t="e">
        <f>+#REF!</f>
        <v>#REF!</v>
      </c>
    </row>
    <row r="28" spans="1:9" s="18" customFormat="1" ht="15" hidden="1" customHeight="1" outlineLevel="1">
      <c r="A28" s="41"/>
      <c r="B28" s="41"/>
      <c r="C28" s="43"/>
      <c r="D28" s="43"/>
      <c r="E28" s="43"/>
      <c r="F28" s="44"/>
      <c r="G28" s="44"/>
    </row>
    <row r="29" spans="1:9" s="18" customFormat="1" ht="15" hidden="1" customHeight="1" outlineLevel="1">
      <c r="A29" s="22" t="s">
        <v>24</v>
      </c>
      <c r="B29" s="22"/>
      <c r="C29" s="45"/>
      <c r="D29" s="45"/>
      <c r="E29" s="45"/>
      <c r="F29" s="40"/>
      <c r="G29" s="40"/>
    </row>
    <row r="30" spans="1:9" s="18" customFormat="1" ht="15" hidden="1" customHeight="1" outlineLevel="1">
      <c r="A30" s="35" t="s">
        <v>25</v>
      </c>
      <c r="C30" s="34"/>
      <c r="D30" s="34"/>
      <c r="E30" s="34"/>
      <c r="F30" s="34"/>
      <c r="G30" s="34"/>
    </row>
    <row r="31" spans="1:9" s="18" customFormat="1" ht="15" hidden="1" customHeight="1" outlineLevel="1">
      <c r="A31" s="35" t="s">
        <v>26</v>
      </c>
      <c r="C31" s="33">
        <v>12685</v>
      </c>
      <c r="D31" s="33">
        <v>14074</v>
      </c>
      <c r="E31" s="33">
        <v>14721.208547945205</v>
      </c>
      <c r="F31" s="34" t="e">
        <f>F103</f>
        <v>#REF!</v>
      </c>
      <c r="G31" s="34" t="e">
        <f t="shared" ref="G31:G32" si="6">G103</f>
        <v>#REF!</v>
      </c>
    </row>
    <row r="32" spans="1:9" s="18" customFormat="1" ht="15" hidden="1" customHeight="1" outlineLevel="1">
      <c r="A32" s="35" t="s">
        <v>27</v>
      </c>
      <c r="C32" s="33">
        <v>7168</v>
      </c>
      <c r="D32" s="33">
        <v>7691</v>
      </c>
      <c r="E32" s="33">
        <v>8036.3318794520546</v>
      </c>
      <c r="F32" s="34" t="e">
        <f>F104</f>
        <v>#REF!</v>
      </c>
      <c r="G32" s="34" t="e">
        <f t="shared" si="6"/>
        <v>#REF!</v>
      </c>
      <c r="I32" s="46"/>
    </row>
    <row r="33" spans="1:9" s="18" customFormat="1" ht="15" hidden="1" customHeight="1" outlineLevel="1">
      <c r="A33" s="35" t="s">
        <v>28</v>
      </c>
      <c r="C33" s="47">
        <f>SUM(C30:C32)</f>
        <v>19853</v>
      </c>
      <c r="D33" s="47">
        <f t="shared" ref="D33:G33" si="7">SUM(D30:D32)</f>
        <v>21765</v>
      </c>
      <c r="E33" s="47">
        <f t="shared" si="7"/>
        <v>22757.54042739726</v>
      </c>
      <c r="F33" s="47" t="e">
        <f t="shared" si="7"/>
        <v>#REF!</v>
      </c>
      <c r="G33" s="47" t="e">
        <f t="shared" si="7"/>
        <v>#REF!</v>
      </c>
      <c r="I33" s="48"/>
    </row>
    <row r="34" spans="1:9" s="18" customFormat="1" ht="15" hidden="1" customHeight="1" outlineLevel="1">
      <c r="A34" s="49"/>
      <c r="B34" s="22"/>
      <c r="C34" s="50"/>
      <c r="D34" s="50"/>
      <c r="E34" s="50"/>
      <c r="F34" s="51"/>
      <c r="G34" s="51"/>
      <c r="I34" s="46"/>
    </row>
    <row r="35" spans="1:9" s="18" customFormat="1" ht="15" hidden="1" customHeight="1" outlineLevel="1">
      <c r="A35" s="35" t="s">
        <v>29</v>
      </c>
      <c r="C35" s="33">
        <v>19262.999999999996</v>
      </c>
      <c r="D35" s="33">
        <v>20371</v>
      </c>
      <c r="E35" s="33">
        <v>21175.000000000004</v>
      </c>
      <c r="F35" s="34" t="e">
        <f t="shared" ref="F35:G35" si="8">F123</f>
        <v>#REF!</v>
      </c>
      <c r="G35" s="34" t="e">
        <f t="shared" si="8"/>
        <v>#REF!</v>
      </c>
      <c r="I35" s="46"/>
    </row>
    <row r="36" spans="1:9" s="18" customFormat="1" ht="15" hidden="1" customHeight="1" outlineLevel="1">
      <c r="A36" s="35"/>
      <c r="C36" s="33"/>
      <c r="D36" s="33"/>
      <c r="E36" s="33"/>
      <c r="F36" s="36"/>
      <c r="G36" s="36"/>
      <c r="I36" s="46"/>
    </row>
    <row r="37" spans="1:9" s="18" customFormat="1" ht="15" hidden="1" customHeight="1" outlineLevel="1">
      <c r="A37" s="49" t="s">
        <v>30</v>
      </c>
      <c r="B37" s="22"/>
      <c r="C37" s="52">
        <f>SUM(C35,C33)</f>
        <v>39116</v>
      </c>
      <c r="D37" s="52">
        <f t="shared" ref="D37:G37" si="9">SUM(D35,D33)</f>
        <v>42136</v>
      </c>
      <c r="E37" s="52">
        <f t="shared" si="9"/>
        <v>43932.540427397267</v>
      </c>
      <c r="F37" s="52" t="e">
        <f t="shared" si="9"/>
        <v>#REF!</v>
      </c>
      <c r="G37" s="52" t="e">
        <f t="shared" si="9"/>
        <v>#REF!</v>
      </c>
      <c r="I37" s="53"/>
    </row>
    <row r="38" spans="1:9" s="18" customFormat="1" ht="15" hidden="1" customHeight="1" outlineLevel="1">
      <c r="C38" s="50"/>
      <c r="D38" s="50"/>
      <c r="E38" s="50"/>
      <c r="F38" s="51"/>
      <c r="G38" s="51"/>
      <c r="I38" s="46"/>
    </row>
    <row r="39" spans="1:9" s="18" customFormat="1" ht="15" hidden="1" customHeight="1" outlineLevel="1">
      <c r="A39" s="22" t="s">
        <v>31</v>
      </c>
      <c r="B39" s="22"/>
      <c r="C39" s="50"/>
      <c r="D39" s="50"/>
      <c r="E39" s="50"/>
      <c r="F39" s="51"/>
      <c r="G39" s="51"/>
      <c r="I39" s="46"/>
    </row>
    <row r="40" spans="1:9" s="18" customFormat="1" ht="15" hidden="1" customHeight="1" outlineLevel="1">
      <c r="A40" s="35" t="s">
        <v>32</v>
      </c>
      <c r="C40" s="33">
        <v>10001</v>
      </c>
      <c r="D40" s="33">
        <v>10504</v>
      </c>
      <c r="E40" s="33">
        <v>11077.106104109589</v>
      </c>
      <c r="F40" s="34" t="e">
        <f>F105</f>
        <v>#REF!</v>
      </c>
      <c r="G40" s="34" t="e">
        <f t="shared" ref="G40:G41" si="10">G105</f>
        <v>#REF!</v>
      </c>
      <c r="I40" s="46"/>
    </row>
    <row r="41" spans="1:9" s="18" customFormat="1" ht="15" hidden="1" customHeight="1" outlineLevel="1">
      <c r="A41" s="35" t="s">
        <v>33</v>
      </c>
      <c r="C41" s="33">
        <v>1088</v>
      </c>
      <c r="D41" s="33">
        <v>894</v>
      </c>
      <c r="E41" s="33">
        <v>581</v>
      </c>
      <c r="F41" s="34" t="e">
        <f>F106</f>
        <v>#REF!</v>
      </c>
      <c r="G41" s="34" t="e">
        <f t="shared" si="10"/>
        <v>#REF!</v>
      </c>
    </row>
    <row r="42" spans="1:9" s="18" customFormat="1" ht="15" hidden="1" customHeight="1" outlineLevel="1">
      <c r="A42" s="35" t="s">
        <v>34</v>
      </c>
      <c r="C42" s="47">
        <f>SUM(C40:C41)</f>
        <v>11089</v>
      </c>
      <c r="D42" s="47">
        <f t="shared" ref="D42:G42" si="11">SUM(D40:D41)</f>
        <v>11398</v>
      </c>
      <c r="E42" s="47">
        <f t="shared" si="11"/>
        <v>11658.106104109589</v>
      </c>
      <c r="F42" s="47" t="e">
        <f t="shared" si="11"/>
        <v>#REF!</v>
      </c>
      <c r="G42" s="47" t="e">
        <f t="shared" si="11"/>
        <v>#REF!</v>
      </c>
      <c r="I42" s="48"/>
    </row>
    <row r="43" spans="1:9" s="18" customFormat="1" ht="15" hidden="1" customHeight="1" outlineLevel="1">
      <c r="A43" s="49"/>
      <c r="B43" s="22"/>
      <c r="C43" s="50"/>
      <c r="D43" s="50"/>
      <c r="E43" s="50"/>
      <c r="F43" s="51"/>
      <c r="G43" s="51"/>
      <c r="I43" s="46"/>
    </row>
    <row r="44" spans="1:9" s="18" customFormat="1" ht="15" hidden="1" customHeight="1" outlineLevel="1">
      <c r="A44" s="35" t="s">
        <v>35</v>
      </c>
      <c r="C44" s="33">
        <v>20000</v>
      </c>
      <c r="D44" s="33">
        <v>20000</v>
      </c>
      <c r="E44" s="33">
        <v>20000</v>
      </c>
      <c r="F44" s="34" t="e">
        <f>#REF!</f>
        <v>#REF!</v>
      </c>
      <c r="G44" s="34" t="e">
        <f>#REF!</f>
        <v>#REF!</v>
      </c>
    </row>
    <row r="45" spans="1:9" s="18" customFormat="1" ht="15" hidden="1" customHeight="1" outlineLevel="1">
      <c r="A45" s="35" t="s">
        <v>36</v>
      </c>
      <c r="B45" s="54"/>
      <c r="C45" s="47">
        <f>SUM(C42,C44)</f>
        <v>31089</v>
      </c>
      <c r="D45" s="47">
        <f t="shared" ref="D45:G45" si="12">SUM(D42,D44)</f>
        <v>31398</v>
      </c>
      <c r="E45" s="47">
        <f t="shared" si="12"/>
        <v>31658.106104109589</v>
      </c>
      <c r="F45" s="47" t="e">
        <f t="shared" si="12"/>
        <v>#REF!</v>
      </c>
      <c r="G45" s="47" t="e">
        <f t="shared" si="12"/>
        <v>#REF!</v>
      </c>
      <c r="I45" s="46"/>
    </row>
    <row r="46" spans="1:9" s="18" customFormat="1" ht="15" hidden="1" customHeight="1" outlineLevel="1">
      <c r="C46" s="33"/>
      <c r="D46" s="33"/>
      <c r="E46" s="33"/>
      <c r="F46" s="36"/>
      <c r="G46" s="36"/>
      <c r="I46" s="46"/>
    </row>
    <row r="47" spans="1:9" s="18" customFormat="1" ht="15" hidden="1" customHeight="1" outlineLevel="1">
      <c r="A47" s="22" t="s">
        <v>37</v>
      </c>
      <c r="B47" s="22"/>
      <c r="C47" s="50"/>
      <c r="D47" s="50"/>
      <c r="E47" s="50"/>
      <c r="F47" s="51"/>
      <c r="G47" s="51"/>
      <c r="I47" s="46"/>
    </row>
    <row r="48" spans="1:9" s="18" customFormat="1" ht="15" hidden="1" customHeight="1" outlineLevel="1">
      <c r="A48" s="35" t="s">
        <v>38</v>
      </c>
      <c r="C48" s="33">
        <v>7627</v>
      </c>
      <c r="D48" s="33">
        <v>7627</v>
      </c>
      <c r="E48" s="33">
        <v>7627</v>
      </c>
      <c r="F48" s="34" t="e">
        <f>F144</f>
        <v>#REF!</v>
      </c>
      <c r="G48" s="34" t="e">
        <f t="shared" ref="G48" si="13">G144</f>
        <v>#REF!</v>
      </c>
    </row>
    <row r="49" spans="1:9" s="18" customFormat="1" ht="15" hidden="1" customHeight="1" outlineLevel="1">
      <c r="A49" s="35" t="s">
        <v>39</v>
      </c>
      <c r="C49" s="33">
        <v>5689</v>
      </c>
      <c r="D49" s="33">
        <v>9029</v>
      </c>
      <c r="E49" s="33">
        <v>14806.217771200003</v>
      </c>
      <c r="F49" s="34" t="e">
        <f>F153</f>
        <v>#REF!</v>
      </c>
      <c r="G49" s="34" t="e">
        <f t="shared" ref="G49" si="14">G153</f>
        <v>#REF!</v>
      </c>
      <c r="I49" s="46"/>
    </row>
    <row r="50" spans="1:9" s="18" customFormat="1" ht="15" hidden="1" customHeight="1" outlineLevel="1">
      <c r="A50" s="49" t="s">
        <v>40</v>
      </c>
      <c r="B50" s="22"/>
      <c r="C50" s="55">
        <f>SUM(C48:C49)</f>
        <v>13316</v>
      </c>
      <c r="D50" s="55">
        <f t="shared" ref="D50:G50" si="15">SUM(D48:D49)</f>
        <v>16656</v>
      </c>
      <c r="E50" s="55">
        <f t="shared" si="15"/>
        <v>22433.217771200005</v>
      </c>
      <c r="F50" s="55" t="e">
        <f t="shared" si="15"/>
        <v>#REF!</v>
      </c>
      <c r="G50" s="55" t="e">
        <f t="shared" si="15"/>
        <v>#REF!</v>
      </c>
      <c r="I50" s="53"/>
    </row>
    <row r="51" spans="1:9" s="18" customFormat="1" ht="15" hidden="1" customHeight="1" outlineLevel="1">
      <c r="A51" s="49"/>
      <c r="B51" s="22"/>
      <c r="C51" s="56"/>
      <c r="D51" s="56"/>
      <c r="E51" s="56"/>
      <c r="F51" s="56"/>
      <c r="G51" s="56"/>
      <c r="I51" s="53"/>
    </row>
    <row r="52" spans="1:9" s="18" customFormat="1" ht="15" hidden="1" customHeight="1" outlineLevel="1">
      <c r="A52" s="49" t="s">
        <v>41</v>
      </c>
      <c r="C52" s="52">
        <f>SUM(C45,C50)</f>
        <v>44405</v>
      </c>
      <c r="D52" s="52">
        <f t="shared" ref="D52:G52" si="16">SUM(D45,D50)</f>
        <v>48054</v>
      </c>
      <c r="E52" s="52">
        <f t="shared" si="16"/>
        <v>54091.323875309594</v>
      </c>
      <c r="F52" s="52" t="e">
        <f t="shared" si="16"/>
        <v>#REF!</v>
      </c>
      <c r="G52" s="52" t="e">
        <f t="shared" si="16"/>
        <v>#REF!</v>
      </c>
      <c r="I52" s="53"/>
    </row>
    <row r="53" spans="1:9" s="18" customFormat="1" ht="15" hidden="1" customHeight="1" outlineLevel="1">
      <c r="A53" s="35"/>
      <c r="C53" s="51"/>
      <c r="D53" s="51"/>
      <c r="E53" s="51"/>
      <c r="F53" s="51"/>
      <c r="G53" s="51"/>
      <c r="I53" s="57"/>
    </row>
    <row r="54" spans="1:9" s="18" customFormat="1" ht="15" hidden="1" customHeight="1" outlineLevel="1">
      <c r="A54" s="58" t="s">
        <v>42</v>
      </c>
      <c r="B54" s="59"/>
      <c r="C54" s="34" t="b">
        <f>C52=C37</f>
        <v>0</v>
      </c>
      <c r="D54" s="34" t="b">
        <f t="shared" ref="D54:G54" si="17">D52=D37</f>
        <v>0</v>
      </c>
      <c r="E54" s="34" t="b">
        <f t="shared" si="17"/>
        <v>0</v>
      </c>
      <c r="F54" s="34" t="e">
        <f t="shared" si="17"/>
        <v>#REF!</v>
      </c>
      <c r="G54" s="34" t="e">
        <f t="shared" si="17"/>
        <v>#REF!</v>
      </c>
      <c r="I54" s="60"/>
    </row>
    <row r="55" spans="1:9" s="18" customFormat="1" ht="15" hidden="1" customHeight="1" outlineLevel="1">
      <c r="A55" s="59"/>
      <c r="B55" s="59"/>
      <c r="C55" s="36"/>
      <c r="D55" s="36"/>
      <c r="E55" s="36"/>
      <c r="F55" s="36"/>
      <c r="G55" s="36"/>
      <c r="I55" s="46"/>
    </row>
    <row r="56" spans="1:9" s="18" customFormat="1" ht="15" hidden="1" customHeight="1" outlineLevel="1">
      <c r="A56" s="61"/>
      <c r="B56" s="61"/>
      <c r="C56" s="62"/>
      <c r="D56" s="62"/>
      <c r="E56" s="62"/>
      <c r="F56" s="62"/>
      <c r="G56" s="62"/>
      <c r="I56" s="46"/>
    </row>
    <row r="57" spans="1:9" s="18" customFormat="1" ht="15" hidden="1" customHeight="1" collapsed="1">
      <c r="C57" s="51"/>
      <c r="D57" s="36"/>
      <c r="E57" s="36"/>
      <c r="F57" s="36"/>
      <c r="G57" s="36"/>
      <c r="I57" s="46"/>
    </row>
    <row r="58" spans="1:9" s="11" customFormat="1" ht="15" hidden="1" customHeight="1">
      <c r="A58" s="2" t="s">
        <v>43</v>
      </c>
      <c r="B58" s="2"/>
      <c r="C58" s="2"/>
      <c r="D58" s="2"/>
      <c r="E58" s="2"/>
      <c r="F58" s="2"/>
      <c r="G58" s="2"/>
    </row>
    <row r="59" spans="1:9" s="11" customFormat="1" ht="15" hidden="1" customHeight="1" outlineLevel="1">
      <c r="A59" s="12"/>
      <c r="B59" s="12"/>
      <c r="C59" s="63"/>
      <c r="D59" s="63"/>
      <c r="E59" s="63"/>
      <c r="F59" s="63"/>
      <c r="G59" s="63"/>
    </row>
    <row r="60" spans="1:9" s="18" customFormat="1" ht="15" hidden="1" customHeight="1" outlineLevel="1">
      <c r="A60" s="41" t="s">
        <v>9</v>
      </c>
      <c r="B60" s="41"/>
      <c r="C60" s="4" t="e">
        <f>+#REF!</f>
        <v>#REF!</v>
      </c>
      <c r="D60" s="4" t="e">
        <f>+#REF!</f>
        <v>#REF!</v>
      </c>
      <c r="E60" s="4" t="e">
        <f>+#REF!</f>
        <v>#REF!</v>
      </c>
      <c r="F60" s="42" t="e">
        <f>+#REF!</f>
        <v>#REF!</v>
      </c>
      <c r="G60" s="42" t="e">
        <f>+#REF!</f>
        <v>#REF!</v>
      </c>
      <c r="I60" s="11"/>
    </row>
    <row r="61" spans="1:9" s="18" customFormat="1" ht="15" hidden="1" customHeight="1" outlineLevel="1">
      <c r="A61" s="41"/>
      <c r="B61" s="41"/>
      <c r="C61" s="64"/>
      <c r="D61" s="64"/>
      <c r="E61" s="64"/>
      <c r="F61" s="64"/>
      <c r="G61" s="64"/>
    </row>
    <row r="62" spans="1:9" s="18" customFormat="1" ht="15" hidden="1" customHeight="1" outlineLevel="1">
      <c r="A62" s="22" t="s">
        <v>44</v>
      </c>
      <c r="B62" s="22"/>
      <c r="C62" s="65"/>
      <c r="D62" s="65"/>
      <c r="E62" s="65"/>
      <c r="F62" s="66"/>
      <c r="G62" s="66"/>
    </row>
    <row r="63" spans="1:9" s="18" customFormat="1" ht="15" hidden="1" customHeight="1" outlineLevel="1">
      <c r="A63" s="35" t="s">
        <v>20</v>
      </c>
      <c r="C63" s="34"/>
      <c r="D63" s="34"/>
      <c r="E63" s="34"/>
      <c r="F63" s="34"/>
      <c r="G63" s="34"/>
    </row>
    <row r="64" spans="1:9" s="18" customFormat="1" ht="15" hidden="1" customHeight="1" outlineLevel="1">
      <c r="A64" s="35" t="s">
        <v>45</v>
      </c>
      <c r="C64" s="34"/>
      <c r="D64" s="34"/>
      <c r="E64" s="34"/>
      <c r="F64" s="34"/>
      <c r="G64" s="34"/>
    </row>
    <row r="65" spans="1:7" s="18" customFormat="1" ht="15" hidden="1" customHeight="1" outlineLevel="1">
      <c r="A65" s="35" t="s">
        <v>46</v>
      </c>
      <c r="C65" s="50"/>
      <c r="D65" s="50"/>
      <c r="E65" s="50"/>
      <c r="F65" s="50"/>
      <c r="G65" s="50"/>
    </row>
    <row r="66" spans="1:7" s="18" customFormat="1" ht="15" hidden="1" customHeight="1" outlineLevel="1">
      <c r="A66" s="67" t="s">
        <v>26</v>
      </c>
      <c r="B66" s="35"/>
      <c r="C66" s="34"/>
      <c r="D66" s="34"/>
      <c r="E66" s="34"/>
      <c r="F66" s="34"/>
      <c r="G66" s="34"/>
    </row>
    <row r="67" spans="1:7" s="18" customFormat="1" ht="15" hidden="1" customHeight="1" outlineLevel="1">
      <c r="A67" s="67" t="s">
        <v>27</v>
      </c>
      <c r="B67" s="35"/>
      <c r="C67" s="34"/>
      <c r="D67" s="34"/>
      <c r="E67" s="34"/>
      <c r="F67" s="34"/>
      <c r="G67" s="34"/>
    </row>
    <row r="68" spans="1:7" s="18" customFormat="1" ht="15" hidden="1" customHeight="1" outlineLevel="1">
      <c r="A68" s="67" t="s">
        <v>32</v>
      </c>
      <c r="B68" s="35"/>
      <c r="C68" s="34"/>
      <c r="D68" s="34"/>
      <c r="E68" s="34"/>
      <c r="F68" s="34"/>
      <c r="G68" s="34"/>
    </row>
    <row r="69" spans="1:7" s="18" customFormat="1" ht="15" hidden="1" customHeight="1" outlineLevel="1">
      <c r="A69" s="67" t="s">
        <v>33</v>
      </c>
      <c r="B69" s="35"/>
      <c r="C69" s="34"/>
      <c r="D69" s="34"/>
      <c r="E69" s="34"/>
      <c r="F69" s="34"/>
      <c r="G69" s="34"/>
    </row>
    <row r="70" spans="1:7" s="18" customFormat="1" ht="15" hidden="1" customHeight="1" outlineLevel="1">
      <c r="A70" s="35" t="s">
        <v>44</v>
      </c>
      <c r="C70" s="47"/>
      <c r="D70" s="47"/>
      <c r="E70" s="47"/>
      <c r="F70" s="47"/>
      <c r="G70" s="47"/>
    </row>
    <row r="71" spans="1:7" s="18" customFormat="1" ht="15" hidden="1" customHeight="1" outlineLevel="1">
      <c r="C71" s="50"/>
      <c r="D71" s="50"/>
      <c r="E71" s="50"/>
      <c r="F71" s="51"/>
      <c r="G71" s="51"/>
    </row>
    <row r="72" spans="1:7" s="18" customFormat="1" ht="15" hidden="1" customHeight="1" outlineLevel="1">
      <c r="A72" s="22" t="s">
        <v>47</v>
      </c>
      <c r="B72" s="22"/>
      <c r="C72" s="50"/>
      <c r="D72" s="50"/>
      <c r="E72" s="50"/>
      <c r="F72" s="51"/>
      <c r="G72" s="51"/>
    </row>
    <row r="73" spans="1:7" s="18" customFormat="1" ht="15" hidden="1" customHeight="1" outlineLevel="1">
      <c r="A73" s="35" t="s">
        <v>48</v>
      </c>
      <c r="C73" s="33">
        <v>-3004.9999999999973</v>
      </c>
      <c r="D73" s="33">
        <v>-3911.0000000000018</v>
      </c>
      <c r="E73" s="33">
        <v>-3710.8353600000046</v>
      </c>
      <c r="F73" s="34"/>
      <c r="G73" s="34"/>
    </row>
    <row r="74" spans="1:7" s="18" customFormat="1" ht="15" hidden="1" customHeight="1" outlineLevel="1">
      <c r="A74" s="35" t="s">
        <v>49</v>
      </c>
      <c r="C74" s="47"/>
      <c r="D74" s="47"/>
      <c r="E74" s="47"/>
      <c r="F74" s="47"/>
      <c r="G74" s="47"/>
    </row>
    <row r="75" spans="1:7" s="18" customFormat="1" ht="15" hidden="1" customHeight="1" outlineLevel="1">
      <c r="C75" s="50"/>
      <c r="D75" s="50"/>
      <c r="E75" s="50"/>
      <c r="F75" s="51"/>
      <c r="G75" s="51"/>
    </row>
    <row r="76" spans="1:7" s="18" customFormat="1" ht="15" hidden="1" customHeight="1" outlineLevel="1">
      <c r="A76" s="22" t="s">
        <v>50</v>
      </c>
      <c r="B76" s="22"/>
      <c r="C76" s="50"/>
      <c r="D76" s="50"/>
      <c r="E76" s="50"/>
      <c r="F76" s="51"/>
      <c r="G76" s="51"/>
    </row>
    <row r="77" spans="1:7" s="18" customFormat="1" ht="15" hidden="1" customHeight="1" outlineLevel="1">
      <c r="A77" s="35" t="s">
        <v>51</v>
      </c>
      <c r="C77" s="33">
        <v>0</v>
      </c>
      <c r="D77" s="34"/>
      <c r="E77" s="34"/>
      <c r="F77" s="34"/>
      <c r="G77" s="34"/>
    </row>
    <row r="78" spans="1:7" s="18" customFormat="1" ht="15" hidden="1" customHeight="1" outlineLevel="1">
      <c r="A78" s="35" t="s">
        <v>52</v>
      </c>
      <c r="C78" s="34"/>
      <c r="D78" s="34"/>
      <c r="E78" s="34"/>
      <c r="F78" s="34"/>
      <c r="G78" s="34"/>
    </row>
    <row r="79" spans="1:7" s="18" customFormat="1" ht="15" hidden="1" customHeight="1" outlineLevel="1">
      <c r="A79" s="35" t="s">
        <v>53</v>
      </c>
      <c r="C79" s="33">
        <v>0</v>
      </c>
      <c r="D79" s="34"/>
      <c r="E79" s="34"/>
      <c r="F79" s="34"/>
      <c r="G79" s="34"/>
    </row>
    <row r="80" spans="1:7" s="18" customFormat="1" ht="15" hidden="1" customHeight="1" outlineLevel="1">
      <c r="A80" s="35" t="s">
        <v>54</v>
      </c>
      <c r="C80" s="47"/>
      <c r="D80" s="47"/>
      <c r="E80" s="47"/>
      <c r="F80" s="47"/>
      <c r="G80" s="47"/>
    </row>
    <row r="81" spans="1:9" s="18" customFormat="1" ht="15" hidden="1" customHeight="1" outlineLevel="1">
      <c r="A81" s="35"/>
      <c r="C81" s="50"/>
      <c r="D81" s="50"/>
      <c r="E81" s="50"/>
      <c r="F81" s="51"/>
      <c r="G81" s="51"/>
    </row>
    <row r="82" spans="1:9" s="18" customFormat="1" ht="15" hidden="1" customHeight="1" outlineLevel="1">
      <c r="A82" s="35" t="s">
        <v>55</v>
      </c>
      <c r="C82" s="33">
        <v>5671</v>
      </c>
      <c r="D82" s="34"/>
      <c r="E82" s="34"/>
      <c r="F82" s="34"/>
      <c r="G82" s="34"/>
    </row>
    <row r="83" spans="1:9" s="18" customFormat="1" ht="15" hidden="1" customHeight="1" outlineLevel="1">
      <c r="A83" s="35" t="s">
        <v>56</v>
      </c>
      <c r="C83" s="34"/>
      <c r="D83" s="34"/>
      <c r="E83" s="34"/>
      <c r="F83" s="34"/>
      <c r="G83" s="34"/>
    </row>
    <row r="84" spans="1:9" s="18" customFormat="1" ht="15" hidden="1" customHeight="1" outlineLevel="1">
      <c r="A84" s="49" t="s">
        <v>57</v>
      </c>
      <c r="B84" s="22"/>
      <c r="C84" s="52"/>
      <c r="D84" s="52"/>
      <c r="E84" s="52"/>
      <c r="F84" s="52"/>
      <c r="G84" s="52"/>
    </row>
    <row r="85" spans="1:9" s="18" customFormat="1" ht="15" hidden="1" customHeight="1" outlineLevel="1">
      <c r="A85" s="22"/>
      <c r="B85" s="22"/>
      <c r="C85" s="56"/>
      <c r="D85" s="56"/>
      <c r="E85" s="56"/>
      <c r="F85" s="56"/>
      <c r="G85" s="56"/>
    </row>
    <row r="86" spans="1:9" s="18" customFormat="1" ht="15" hidden="1" customHeight="1" outlineLevel="1">
      <c r="A86" s="37"/>
      <c r="B86" s="37"/>
      <c r="C86" s="68"/>
      <c r="D86" s="68"/>
      <c r="E86" s="68"/>
      <c r="F86" s="68"/>
      <c r="G86" s="68"/>
    </row>
    <row r="87" spans="1:9" s="18" customFormat="1" ht="15" hidden="1" customHeight="1" collapsed="1">
      <c r="C87" s="51"/>
      <c r="D87" s="51"/>
      <c r="E87" s="51"/>
      <c r="F87" s="51"/>
      <c r="G87" s="51"/>
    </row>
    <row r="88" spans="1:9" s="11" customFormat="1" ht="15" hidden="1" customHeight="1">
      <c r="A88" s="2" t="s">
        <v>58</v>
      </c>
      <c r="B88" s="2"/>
      <c r="C88" s="2"/>
      <c r="D88" s="2"/>
      <c r="E88" s="2"/>
      <c r="F88" s="2"/>
      <c r="G88" s="2"/>
    </row>
    <row r="89" spans="1:9" s="11" customFormat="1" ht="15" hidden="1" customHeight="1" outlineLevel="1">
      <c r="A89" s="12"/>
      <c r="B89" s="12"/>
      <c r="C89" s="63"/>
      <c r="D89" s="63"/>
      <c r="E89" s="63"/>
      <c r="F89" s="63"/>
      <c r="G89" s="63"/>
    </row>
    <row r="90" spans="1:9" s="11" customFormat="1" ht="15" hidden="1" customHeight="1" outlineLevel="1">
      <c r="A90" s="41" t="s">
        <v>9</v>
      </c>
      <c r="B90" s="41"/>
      <c r="C90" s="4" t="e">
        <f>+#REF!</f>
        <v>#REF!</v>
      </c>
      <c r="D90" s="4" t="e">
        <f>+#REF!</f>
        <v>#REF!</v>
      </c>
      <c r="E90" s="4" t="e">
        <f>+#REF!</f>
        <v>#REF!</v>
      </c>
      <c r="F90" s="42" t="e">
        <f>+#REF!</f>
        <v>#REF!</v>
      </c>
      <c r="G90" s="42" t="e">
        <f>+#REF!</f>
        <v>#REF!</v>
      </c>
    </row>
    <row r="91" spans="1:9" s="11" customFormat="1" ht="15" hidden="1" customHeight="1" outlineLevel="1">
      <c r="A91" s="12"/>
      <c r="B91" s="12"/>
      <c r="C91" s="63"/>
      <c r="D91" s="63"/>
      <c r="E91" s="63"/>
      <c r="F91" s="63"/>
      <c r="G91" s="63"/>
    </row>
    <row r="92" spans="1:9" s="18" customFormat="1" ht="15" hidden="1" customHeight="1" outlineLevel="1">
      <c r="A92" s="18" t="s">
        <v>59</v>
      </c>
      <c r="C92" s="69" t="e">
        <f>#REF!</f>
        <v>#REF!</v>
      </c>
      <c r="D92" s="47" t="e">
        <f>#REF!</f>
        <v>#REF!</v>
      </c>
      <c r="E92" s="47" t="e">
        <f>#REF!</f>
        <v>#REF!</v>
      </c>
      <c r="F92" s="47" t="e">
        <f>#REF!</f>
        <v>#REF!</v>
      </c>
      <c r="G92" s="47" t="e">
        <f>#REF!</f>
        <v>#REF!</v>
      </c>
      <c r="I92" s="54"/>
    </row>
    <row r="93" spans="1:9" s="18" customFormat="1" ht="15" hidden="1" customHeight="1" outlineLevel="1">
      <c r="A93" s="18" t="s">
        <v>60</v>
      </c>
      <c r="C93" s="70">
        <f>C5</f>
        <v>426160</v>
      </c>
      <c r="D93" s="71">
        <f>D5</f>
        <v>481504</v>
      </c>
      <c r="E93" s="71">
        <f>E5</f>
        <v>790755</v>
      </c>
      <c r="F93" s="71">
        <f>F5</f>
        <v>877307.99999999988</v>
      </c>
      <c r="G93" s="71">
        <f>G5</f>
        <v>1034550</v>
      </c>
      <c r="I93" s="54"/>
    </row>
    <row r="94" spans="1:9" s="18" customFormat="1" ht="15" hidden="1" customHeight="1" outlineLevel="1">
      <c r="A94" s="18" t="s">
        <v>11</v>
      </c>
      <c r="C94" s="70">
        <f>-C6</f>
        <v>191772</v>
      </c>
      <c r="D94" s="71">
        <f>-D6</f>
        <v>211862</v>
      </c>
      <c r="E94" s="71">
        <f>-E6</f>
        <v>332117</v>
      </c>
      <c r="F94" s="71">
        <f>-F6</f>
        <v>359696</v>
      </c>
      <c r="G94" s="71">
        <f>-G6</f>
        <v>413820</v>
      </c>
      <c r="I94" s="54"/>
    </row>
    <row r="95" spans="1:9" s="18" customFormat="1" ht="15" hidden="1" customHeight="1" outlineLevel="1">
      <c r="A95" s="18" t="s">
        <v>61</v>
      </c>
      <c r="C95" s="72">
        <f>-C18</f>
        <v>32049.38</v>
      </c>
      <c r="D95" s="73">
        <f>-D18</f>
        <v>37613.840000000004</v>
      </c>
      <c r="E95" s="73">
        <f>-E18</f>
        <v>66946.44</v>
      </c>
      <c r="F95" s="73">
        <f>-F18</f>
        <v>76493.119999999981</v>
      </c>
      <c r="G95" s="73">
        <f>-G18</f>
        <v>92952.42</v>
      </c>
      <c r="I95" s="54"/>
    </row>
    <row r="96" spans="1:9" s="18" customFormat="1" ht="15" hidden="1" customHeight="1" outlineLevel="1">
      <c r="A96" s="22"/>
      <c r="B96" s="22"/>
      <c r="C96" s="74"/>
      <c r="D96" s="74"/>
      <c r="E96" s="74"/>
      <c r="F96" s="75"/>
      <c r="G96" s="75"/>
      <c r="I96" s="54"/>
    </row>
    <row r="97" spans="1:9" s="18" customFormat="1" ht="15" hidden="1" customHeight="1" outlineLevel="1">
      <c r="A97" s="18" t="s">
        <v>26</v>
      </c>
      <c r="B97" s="76" t="s">
        <v>62</v>
      </c>
      <c r="C97" s="34" t="e">
        <f>#REF!</f>
        <v>#REF!</v>
      </c>
      <c r="D97" s="34" t="e">
        <f>#REF!</f>
        <v>#REF!</v>
      </c>
      <c r="E97" s="34" t="e">
        <f>#REF!</f>
        <v>#REF!</v>
      </c>
      <c r="F97" s="34" t="e">
        <f>#REF!</f>
        <v>#REF!</v>
      </c>
      <c r="G97" s="34" t="e">
        <f>#REF!</f>
        <v>#REF!</v>
      </c>
    </row>
    <row r="98" spans="1:9" s="18" customFormat="1" ht="15" hidden="1" customHeight="1" outlineLevel="1">
      <c r="A98" s="18" t="s">
        <v>63</v>
      </c>
      <c r="B98" s="76" t="s">
        <v>62</v>
      </c>
      <c r="C98" s="34" t="e">
        <f>#REF!</f>
        <v>#REF!</v>
      </c>
      <c r="D98" s="34" t="e">
        <f>#REF!</f>
        <v>#REF!</v>
      </c>
      <c r="E98" s="34" t="e">
        <f>#REF!</f>
        <v>#REF!</v>
      </c>
      <c r="F98" s="34" t="e">
        <f>#REF!</f>
        <v>#REF!</v>
      </c>
      <c r="G98" s="34" t="e">
        <f>#REF!</f>
        <v>#REF!</v>
      </c>
    </row>
    <row r="99" spans="1:9" s="18" customFormat="1" ht="15" hidden="1" customHeight="1" outlineLevel="1">
      <c r="A99" s="18" t="s">
        <v>32</v>
      </c>
      <c r="B99" s="76" t="s">
        <v>62</v>
      </c>
      <c r="C99" s="34" t="e">
        <f>#REF!</f>
        <v>#REF!</v>
      </c>
      <c r="D99" s="34" t="e">
        <f>#REF!</f>
        <v>#REF!</v>
      </c>
      <c r="E99" s="34" t="e">
        <f>#REF!</f>
        <v>#REF!</v>
      </c>
      <c r="F99" s="34" t="e">
        <f>#REF!</f>
        <v>#REF!</v>
      </c>
      <c r="G99" s="34" t="e">
        <f>#REF!</f>
        <v>#REF!</v>
      </c>
    </row>
    <row r="100" spans="1:9" s="18" customFormat="1" ht="15" hidden="1" customHeight="1" outlineLevel="1">
      <c r="A100" s="54" t="s">
        <v>64</v>
      </c>
      <c r="C100" s="77" t="e">
        <f>#REF!</f>
        <v>#REF!</v>
      </c>
      <c r="D100" s="77" t="e">
        <f>#REF!</f>
        <v>#REF!</v>
      </c>
      <c r="E100" s="77" t="e">
        <f>#REF!</f>
        <v>#REF!</v>
      </c>
      <c r="F100" s="77" t="e">
        <f>#REF!</f>
        <v>#REF!</v>
      </c>
      <c r="G100" s="77" t="e">
        <f>#REF!</f>
        <v>#REF!</v>
      </c>
    </row>
    <row r="101" spans="1:9" s="18" customFormat="1" ht="15" hidden="1" customHeight="1" outlineLevel="1">
      <c r="C101" s="74"/>
      <c r="D101" s="74"/>
      <c r="E101" s="74"/>
      <c r="F101" s="75"/>
      <c r="G101" s="75"/>
      <c r="I101" s="54"/>
    </row>
    <row r="102" spans="1:9" s="18" customFormat="1" ht="15" hidden="1" customHeight="1" outlineLevel="1">
      <c r="A102" s="22" t="s">
        <v>65</v>
      </c>
      <c r="C102" s="74"/>
      <c r="D102" s="74"/>
      <c r="E102" s="74"/>
      <c r="F102" s="75"/>
      <c r="G102" s="75"/>
      <c r="I102" s="54"/>
    </row>
    <row r="103" spans="1:9" s="18" customFormat="1" ht="15" hidden="1" customHeight="1" outlineLevel="1">
      <c r="A103" s="35" t="s">
        <v>26</v>
      </c>
      <c r="C103" s="78">
        <f>C31</f>
        <v>12685</v>
      </c>
      <c r="D103" s="78">
        <f t="shared" ref="D103:E104" si="18">D31</f>
        <v>14074</v>
      </c>
      <c r="E103" s="78">
        <f t="shared" si="18"/>
        <v>14721.208547945205</v>
      </c>
      <c r="F103" s="78" t="e">
        <f>F97/F92*F93</f>
        <v>#REF!</v>
      </c>
      <c r="G103" s="78" t="e">
        <f t="shared" ref="G103" si="19">G97/G92*G93</f>
        <v>#REF!</v>
      </c>
    </row>
    <row r="104" spans="1:9" s="18" customFormat="1" ht="15" hidden="1" customHeight="1" outlineLevel="1">
      <c r="A104" s="35" t="s">
        <v>63</v>
      </c>
      <c r="C104" s="78">
        <f>C32</f>
        <v>7168</v>
      </c>
      <c r="D104" s="78">
        <f t="shared" si="18"/>
        <v>7691</v>
      </c>
      <c r="E104" s="78">
        <f t="shared" si="18"/>
        <v>8036.3318794520546</v>
      </c>
      <c r="F104" s="78" t="e">
        <f>F98/F92*F94</f>
        <v>#REF!</v>
      </c>
      <c r="G104" s="78" t="e">
        <f t="shared" ref="G104" si="20">G98/G92*G94</f>
        <v>#REF!</v>
      </c>
    </row>
    <row r="105" spans="1:9" s="18" customFormat="1" ht="15" hidden="1" customHeight="1" outlineLevel="1">
      <c r="A105" s="35" t="s">
        <v>32</v>
      </c>
      <c r="C105" s="78">
        <f>C40</f>
        <v>10001</v>
      </c>
      <c r="D105" s="78">
        <f t="shared" ref="D105:E106" si="21">D40</f>
        <v>10504</v>
      </c>
      <c r="E105" s="78">
        <f t="shared" si="21"/>
        <v>11077.106104109589</v>
      </c>
      <c r="F105" s="78" t="e">
        <f>F99/F92*F94</f>
        <v>#REF!</v>
      </c>
      <c r="G105" s="78" t="e">
        <f t="shared" ref="G105" si="22">G99/G92*G94</f>
        <v>#REF!</v>
      </c>
    </row>
    <row r="106" spans="1:9" s="18" customFormat="1" ht="15" hidden="1" customHeight="1" outlineLevel="1">
      <c r="A106" s="35" t="s">
        <v>66</v>
      </c>
      <c r="C106" s="78">
        <f>C41</f>
        <v>1088</v>
      </c>
      <c r="D106" s="78">
        <f t="shared" si="21"/>
        <v>894</v>
      </c>
      <c r="E106" s="78">
        <f t="shared" si="21"/>
        <v>581</v>
      </c>
      <c r="F106" s="78" t="e">
        <f>F100*F95</f>
        <v>#REF!</v>
      </c>
      <c r="G106" s="78" t="e">
        <f t="shared" ref="G106" si="23">G100*G95</f>
        <v>#REF!</v>
      </c>
    </row>
    <row r="107" spans="1:9" s="18" customFormat="1" ht="15" hidden="1" customHeight="1" outlineLevel="1">
      <c r="C107" s="74"/>
      <c r="D107" s="74"/>
      <c r="E107" s="74"/>
      <c r="F107" s="79"/>
      <c r="G107" s="79"/>
      <c r="I107" s="54"/>
    </row>
    <row r="108" spans="1:9" s="18" customFormat="1" ht="15" hidden="1" customHeight="1" outlineLevel="1">
      <c r="A108" s="80" t="s">
        <v>67</v>
      </c>
      <c r="B108" s="80"/>
      <c r="C108" s="74"/>
      <c r="D108" s="74"/>
      <c r="E108" s="74"/>
      <c r="F108" s="79"/>
      <c r="G108" s="79"/>
      <c r="I108" s="54"/>
    </row>
    <row r="109" spans="1:9" s="18" customFormat="1" ht="15" hidden="1" customHeight="1" outlineLevel="1">
      <c r="A109" s="35" t="s">
        <v>26</v>
      </c>
      <c r="B109" s="35"/>
      <c r="C109" s="81">
        <v>-1280</v>
      </c>
      <c r="D109" s="78">
        <f t="shared" ref="D109:G110" si="24">C103-D103</f>
        <v>-1389</v>
      </c>
      <c r="E109" s="78">
        <f t="shared" si="24"/>
        <v>-647.20854794520528</v>
      </c>
      <c r="F109" s="78" t="e">
        <f t="shared" si="24"/>
        <v>#REF!</v>
      </c>
      <c r="G109" s="78" t="e">
        <f t="shared" si="24"/>
        <v>#REF!</v>
      </c>
      <c r="I109" s="54"/>
    </row>
    <row r="110" spans="1:9" s="18" customFormat="1" ht="15" hidden="1" customHeight="1" outlineLevel="1">
      <c r="A110" s="35" t="s">
        <v>63</v>
      </c>
      <c r="B110" s="35"/>
      <c r="C110" s="81">
        <v>-470</v>
      </c>
      <c r="D110" s="78">
        <f t="shared" si="24"/>
        <v>-523</v>
      </c>
      <c r="E110" s="78">
        <f t="shared" si="24"/>
        <v>-345.33187945205464</v>
      </c>
      <c r="F110" s="78" t="e">
        <f t="shared" si="24"/>
        <v>#REF!</v>
      </c>
      <c r="G110" s="78" t="e">
        <f t="shared" si="24"/>
        <v>#REF!</v>
      </c>
      <c r="I110" s="54"/>
    </row>
    <row r="111" spans="1:9" s="18" customFormat="1" ht="15" hidden="1" customHeight="1" outlineLevel="1">
      <c r="A111" s="35" t="s">
        <v>32</v>
      </c>
      <c r="B111" s="35"/>
      <c r="C111" s="82">
        <v>490</v>
      </c>
      <c r="D111" s="78">
        <f t="shared" ref="D111:G112" si="25">D105-C105</f>
        <v>503</v>
      </c>
      <c r="E111" s="78">
        <f t="shared" si="25"/>
        <v>573.10610410958907</v>
      </c>
      <c r="F111" s="78" t="e">
        <f t="shared" si="25"/>
        <v>#REF!</v>
      </c>
      <c r="G111" s="78" t="e">
        <f t="shared" si="25"/>
        <v>#REF!</v>
      </c>
      <c r="I111" s="54"/>
    </row>
    <row r="112" spans="1:9" s="18" customFormat="1" ht="15" hidden="1" customHeight="1" outlineLevel="1">
      <c r="A112" s="35" t="s">
        <v>33</v>
      </c>
      <c r="B112" s="35"/>
      <c r="C112" s="82">
        <v>50</v>
      </c>
      <c r="D112" s="83">
        <f t="shared" si="25"/>
        <v>-194</v>
      </c>
      <c r="E112" s="83">
        <f t="shared" si="25"/>
        <v>-313</v>
      </c>
      <c r="F112" s="83" t="e">
        <f t="shared" si="25"/>
        <v>#REF!</v>
      </c>
      <c r="G112" s="83" t="e">
        <f t="shared" si="25"/>
        <v>#REF!</v>
      </c>
      <c r="I112" s="54"/>
    </row>
    <row r="113" spans="1:9" s="18" customFormat="1" ht="15" hidden="1" customHeight="1" outlineLevel="1">
      <c r="A113" s="35" t="s">
        <v>68</v>
      </c>
      <c r="B113" s="35"/>
      <c r="C113" s="84">
        <f>SUM(C109:C112)</f>
        <v>-1210</v>
      </c>
      <c r="D113" s="84">
        <f t="shared" ref="D113:G113" si="26">SUM(D109:D112)</f>
        <v>-1603</v>
      </c>
      <c r="E113" s="84">
        <f t="shared" si="26"/>
        <v>-732.43432328767085</v>
      </c>
      <c r="F113" s="84" t="e">
        <f t="shared" si="26"/>
        <v>#REF!</v>
      </c>
      <c r="G113" s="84" t="e">
        <f t="shared" si="26"/>
        <v>#REF!</v>
      </c>
      <c r="I113" s="54"/>
    </row>
    <row r="114" spans="1:9" s="18" customFormat="1" ht="15" hidden="1" customHeight="1" outlineLevel="1">
      <c r="A114" s="35"/>
      <c r="B114" s="35"/>
      <c r="C114" s="85"/>
      <c r="D114" s="85"/>
      <c r="E114" s="85"/>
      <c r="F114" s="85"/>
      <c r="G114" s="85"/>
      <c r="I114" s="54"/>
    </row>
    <row r="115" spans="1:9" s="18" customFormat="1" ht="15" hidden="1" customHeight="1" outlineLevel="1">
      <c r="A115" s="35" t="s">
        <v>60</v>
      </c>
      <c r="B115" s="41"/>
      <c r="C115" s="86">
        <f>C93</f>
        <v>426160</v>
      </c>
      <c r="D115" s="87">
        <f t="shared" ref="D115:G115" si="27">D93</f>
        <v>481504</v>
      </c>
      <c r="E115" s="87">
        <f t="shared" si="27"/>
        <v>790755</v>
      </c>
      <c r="F115" s="87">
        <f t="shared" si="27"/>
        <v>877307.99999999988</v>
      </c>
      <c r="G115" s="87">
        <f t="shared" si="27"/>
        <v>1034550</v>
      </c>
      <c r="I115" s="30"/>
    </row>
    <row r="116" spans="1:9" s="18" customFormat="1" ht="15" hidden="1" customHeight="1" outlineLevel="1">
      <c r="A116" s="35" t="s">
        <v>69</v>
      </c>
      <c r="B116" s="76" t="s">
        <v>70</v>
      </c>
      <c r="C116" s="88" t="e">
        <f>#REF!</f>
        <v>#REF!</v>
      </c>
      <c r="D116" s="89" t="e">
        <f>#REF!</f>
        <v>#REF!</v>
      </c>
      <c r="E116" s="89" t="e">
        <f>#REF!</f>
        <v>#REF!</v>
      </c>
      <c r="F116" s="89" t="e">
        <f>#REF!</f>
        <v>#REF!</v>
      </c>
      <c r="G116" s="89" t="e">
        <f>#REF!</f>
        <v>#REF!</v>
      </c>
    </row>
    <row r="117" spans="1:9" s="18" customFormat="1" ht="15" hidden="1" customHeight="1" outlineLevel="1">
      <c r="A117" s="35" t="s">
        <v>71</v>
      </c>
      <c r="B117" s="76"/>
      <c r="C117" s="90" t="e">
        <f>#REF!</f>
        <v>#REF!</v>
      </c>
      <c r="D117" s="91" t="e">
        <f>#REF!</f>
        <v>#REF!</v>
      </c>
      <c r="E117" s="91" t="e">
        <f>#REF!</f>
        <v>#REF!</v>
      </c>
      <c r="F117" s="91" t="e">
        <f>#REF!</f>
        <v>#REF!</v>
      </c>
      <c r="G117" s="91" t="e">
        <f>#REF!</f>
        <v>#REF!</v>
      </c>
    </row>
    <row r="118" spans="1:9" s="18" customFormat="1" ht="15" hidden="1" customHeight="1" outlineLevel="1">
      <c r="A118" s="92"/>
      <c r="B118" s="41"/>
      <c r="C118" s="64"/>
      <c r="D118" s="64"/>
      <c r="E118" s="64"/>
      <c r="F118" s="64"/>
      <c r="G118" s="64"/>
    </row>
    <row r="119" spans="1:9" s="18" customFormat="1" ht="15" hidden="1" customHeight="1" outlineLevel="1">
      <c r="A119" s="49" t="s">
        <v>72</v>
      </c>
      <c r="B119" s="22"/>
      <c r="C119" s="51"/>
      <c r="D119" s="51"/>
      <c r="E119" s="51"/>
      <c r="F119" s="51"/>
      <c r="G119" s="51"/>
    </row>
    <row r="120" spans="1:9" s="18" customFormat="1" ht="15" hidden="1" customHeight="1" outlineLevel="1">
      <c r="A120" s="35" t="s">
        <v>73</v>
      </c>
      <c r="C120" s="34" t="e">
        <f>C123-C122-C121</f>
        <v>#REF!</v>
      </c>
      <c r="D120" s="34">
        <f>C123</f>
        <v>19262.999999999996</v>
      </c>
      <c r="E120" s="34" t="e">
        <f>D123</f>
        <v>#REF!</v>
      </c>
      <c r="F120" s="34" t="e">
        <f t="shared" ref="F120:G120" si="28">E123</f>
        <v>#REF!</v>
      </c>
      <c r="G120" s="34" t="e">
        <f t="shared" si="28"/>
        <v>#REF!</v>
      </c>
    </row>
    <row r="121" spans="1:9" s="18" customFormat="1" ht="15" hidden="1" customHeight="1" outlineLevel="1">
      <c r="A121" s="35" t="s">
        <v>74</v>
      </c>
      <c r="C121" s="34">
        <f t="shared" ref="C121:E121" si="29">-C73</f>
        <v>3004.9999999999973</v>
      </c>
      <c r="D121" s="34">
        <f t="shared" si="29"/>
        <v>3911.0000000000018</v>
      </c>
      <c r="E121" s="34">
        <f t="shared" si="29"/>
        <v>3710.8353600000046</v>
      </c>
      <c r="F121" s="34" t="e">
        <f t="shared" ref="F121:G121" si="30">F123-F122-F120</f>
        <v>#REF!</v>
      </c>
      <c r="G121" s="34" t="e">
        <f t="shared" si="30"/>
        <v>#REF!</v>
      </c>
    </row>
    <row r="122" spans="1:9" s="18" customFormat="1" ht="15" hidden="1" customHeight="1" outlineLevel="1">
      <c r="A122" s="35" t="s">
        <v>75</v>
      </c>
      <c r="C122" s="34" t="e">
        <f>#REF!</f>
        <v>#REF!</v>
      </c>
      <c r="D122" s="34" t="e">
        <f>#REF!</f>
        <v>#REF!</v>
      </c>
      <c r="E122" s="34" t="e">
        <f>#REF!</f>
        <v>#REF!</v>
      </c>
      <c r="F122" s="34" t="e">
        <f t="shared" ref="F122:G122" si="31">-F117*F115</f>
        <v>#REF!</v>
      </c>
      <c r="G122" s="34" t="e">
        <f t="shared" si="31"/>
        <v>#REF!</v>
      </c>
    </row>
    <row r="123" spans="1:9" s="18" customFormat="1" ht="15" hidden="1" customHeight="1" outlineLevel="1">
      <c r="A123" s="49" t="s">
        <v>76</v>
      </c>
      <c r="B123" s="22"/>
      <c r="C123" s="55">
        <f>C35</f>
        <v>19262.999999999996</v>
      </c>
      <c r="D123" s="55" t="e">
        <f>SUM(D120:D122)</f>
        <v>#REF!</v>
      </c>
      <c r="E123" s="55" t="e">
        <f>SUM(E120:E122)</f>
        <v>#REF!</v>
      </c>
      <c r="F123" s="55" t="e">
        <f t="shared" ref="F123:G123" si="32">F115/F116</f>
        <v>#REF!</v>
      </c>
      <c r="G123" s="55" t="e">
        <f t="shared" si="32"/>
        <v>#REF!</v>
      </c>
      <c r="I123" s="93"/>
    </row>
    <row r="124" spans="1:9" s="18" customFormat="1" ht="15" hidden="1" customHeight="1" outlineLevel="1">
      <c r="A124" s="94"/>
      <c r="B124" s="94"/>
      <c r="C124" s="62"/>
      <c r="D124" s="62"/>
      <c r="E124" s="62"/>
      <c r="F124" s="62"/>
      <c r="G124" s="62"/>
    </row>
    <row r="125" spans="1:9" s="18" customFormat="1" ht="15" hidden="1" customHeight="1" collapsed="1">
      <c r="C125" s="51"/>
      <c r="D125" s="51"/>
      <c r="E125" s="51"/>
      <c r="F125" s="51"/>
      <c r="G125" s="51"/>
    </row>
    <row r="126" spans="1:9" s="11" customFormat="1" ht="15" hidden="1" customHeight="1">
      <c r="A126" s="2" t="s">
        <v>77</v>
      </c>
      <c r="B126" s="2"/>
      <c r="C126" s="2"/>
      <c r="D126" s="2"/>
      <c r="E126" s="2"/>
      <c r="F126" s="2"/>
      <c r="G126" s="2"/>
    </row>
    <row r="127" spans="1:9" s="11" customFormat="1" ht="15" hidden="1" customHeight="1" outlineLevel="1">
      <c r="A127" s="12"/>
      <c r="B127" s="12"/>
      <c r="C127" s="63"/>
      <c r="D127" s="63"/>
      <c r="E127" s="63"/>
      <c r="F127" s="63"/>
      <c r="G127" s="63"/>
    </row>
    <row r="128" spans="1:9" s="18" customFormat="1" ht="15" hidden="1" customHeight="1" outlineLevel="1">
      <c r="A128" s="41" t="s">
        <v>9</v>
      </c>
      <c r="B128" s="41"/>
      <c r="C128" s="4" t="e">
        <f>+#REF!</f>
        <v>#REF!</v>
      </c>
      <c r="D128" s="4" t="e">
        <f>+#REF!</f>
        <v>#REF!</v>
      </c>
      <c r="E128" s="4" t="e">
        <f>+#REF!</f>
        <v>#REF!</v>
      </c>
      <c r="F128" s="42" t="e">
        <f>+#REF!</f>
        <v>#REF!</v>
      </c>
      <c r="G128" s="42" t="e">
        <f>+#REF!</f>
        <v>#REF!</v>
      </c>
    </row>
    <row r="129" spans="1:7" s="18" customFormat="1" ht="15" hidden="1" customHeight="1" outlineLevel="1">
      <c r="A129" s="41"/>
      <c r="B129" s="41"/>
      <c r="C129" s="64"/>
      <c r="D129" s="64"/>
      <c r="E129" s="64"/>
      <c r="F129" s="64"/>
      <c r="G129" s="64"/>
    </row>
    <row r="130" spans="1:7" s="18" customFormat="1" ht="15" hidden="1" customHeight="1" outlineLevel="1">
      <c r="A130" s="22" t="s">
        <v>78</v>
      </c>
      <c r="B130" s="22"/>
      <c r="C130" s="32"/>
      <c r="D130" s="32"/>
      <c r="E130" s="32"/>
      <c r="F130" s="32"/>
      <c r="G130" s="32"/>
    </row>
    <row r="131" spans="1:7" s="18" customFormat="1" ht="15" hidden="1" customHeight="1" outlineLevel="1">
      <c r="A131" s="22" t="s">
        <v>79</v>
      </c>
      <c r="B131" s="22"/>
      <c r="C131" s="51"/>
      <c r="D131" s="51"/>
      <c r="E131" s="51"/>
      <c r="F131" s="51"/>
      <c r="G131" s="51"/>
    </row>
    <row r="132" spans="1:7" s="18" customFormat="1" ht="15" hidden="1" customHeight="1" outlineLevel="1">
      <c r="A132" s="35" t="s">
        <v>73</v>
      </c>
      <c r="C132" s="95" t="e">
        <f>C134-C133</f>
        <v>#REF!</v>
      </c>
      <c r="D132" s="95" t="e">
        <f t="shared" ref="D132:G132" si="33">C134</f>
        <v>#REF!</v>
      </c>
      <c r="E132" s="95" t="e">
        <f t="shared" si="33"/>
        <v>#REF!</v>
      </c>
      <c r="F132" s="95" t="e">
        <f t="shared" si="33"/>
        <v>#REF!</v>
      </c>
      <c r="G132" s="95" t="e">
        <f t="shared" si="33"/>
        <v>#REF!</v>
      </c>
    </row>
    <row r="133" spans="1:7" s="18" customFormat="1" ht="15" hidden="1" customHeight="1" outlineLevel="1">
      <c r="A133" s="35" t="s">
        <v>80</v>
      </c>
      <c r="C133" s="36">
        <f>C79</f>
        <v>0</v>
      </c>
      <c r="D133" s="34" t="e">
        <f t="shared" ref="D133:G133" si="34">D134-D132</f>
        <v>#REF!</v>
      </c>
      <c r="E133" s="34" t="e">
        <f t="shared" si="34"/>
        <v>#REF!</v>
      </c>
      <c r="F133" s="34" t="e">
        <f t="shared" si="34"/>
        <v>#REF!</v>
      </c>
      <c r="G133" s="34" t="e">
        <f t="shared" si="34"/>
        <v>#REF!</v>
      </c>
    </row>
    <row r="134" spans="1:7" s="18" customFormat="1" ht="15" hidden="1" customHeight="1" outlineLevel="1">
      <c r="A134" s="49" t="s">
        <v>81</v>
      </c>
      <c r="B134" s="22"/>
      <c r="C134" s="55" t="e">
        <f>#REF!</f>
        <v>#REF!</v>
      </c>
      <c r="D134" s="55" t="e">
        <f>#REF!</f>
        <v>#REF!</v>
      </c>
      <c r="E134" s="55" t="e">
        <f>#REF!</f>
        <v>#REF!</v>
      </c>
      <c r="F134" s="55" t="e">
        <f>#REF!</f>
        <v>#REF!</v>
      </c>
      <c r="G134" s="55" t="e">
        <f>#REF!</f>
        <v>#REF!</v>
      </c>
    </row>
    <row r="135" spans="1:7" s="18" customFormat="1" ht="15" hidden="1" customHeight="1" outlineLevel="1">
      <c r="A135" s="18" t="s">
        <v>78</v>
      </c>
      <c r="C135" s="51"/>
      <c r="D135" s="51"/>
      <c r="E135" s="51"/>
      <c r="F135" s="51"/>
      <c r="G135" s="51"/>
    </row>
    <row r="136" spans="1:7" s="18" customFormat="1" ht="15" hidden="1" customHeight="1" outlineLevel="1">
      <c r="A136" s="35" t="s">
        <v>82</v>
      </c>
      <c r="B136" s="22"/>
      <c r="C136" s="96" t="e">
        <f>#REF!</f>
        <v>#REF!</v>
      </c>
      <c r="D136" s="97" t="e">
        <f>#REF!</f>
        <v>#REF!</v>
      </c>
      <c r="E136" s="97" t="e">
        <f>#REF!</f>
        <v>#REF!</v>
      </c>
      <c r="F136" s="97" t="e">
        <f>#REF!</f>
        <v>#REF!</v>
      </c>
      <c r="G136" s="97" t="e">
        <f>#REF!</f>
        <v>#REF!</v>
      </c>
    </row>
    <row r="137" spans="1:7" s="18" customFormat="1" ht="15" hidden="1" customHeight="1" outlineLevel="1">
      <c r="A137" s="35"/>
      <c r="B137" s="22"/>
      <c r="C137" s="98"/>
      <c r="D137" s="98"/>
      <c r="E137" s="98"/>
      <c r="F137" s="98"/>
      <c r="G137" s="98"/>
    </row>
    <row r="138" spans="1:7" s="18" customFormat="1" ht="15" hidden="1" customHeight="1" outlineLevel="1">
      <c r="A138" s="35" t="s">
        <v>83</v>
      </c>
      <c r="C138" s="34">
        <f>-C15</f>
        <v>12000</v>
      </c>
      <c r="D138" s="34">
        <f>-D15</f>
        <v>12000</v>
      </c>
      <c r="E138" s="34">
        <f>-E15</f>
        <v>12000</v>
      </c>
      <c r="F138" s="34" t="e">
        <f t="shared" ref="F138:G138" si="35">F134*F136</f>
        <v>#REF!</v>
      </c>
      <c r="G138" s="34" t="e">
        <f t="shared" si="35"/>
        <v>#REF!</v>
      </c>
    </row>
    <row r="139" spans="1:7" s="18" customFormat="1" ht="15" hidden="1" customHeight="1" outlineLevel="1">
      <c r="A139" s="49" t="s">
        <v>84</v>
      </c>
      <c r="B139" s="22"/>
      <c r="C139" s="55">
        <f>SUM(C138)</f>
        <v>12000</v>
      </c>
      <c r="D139" s="55">
        <f t="shared" ref="D139:G139" si="36">SUM(D138)</f>
        <v>12000</v>
      </c>
      <c r="E139" s="55">
        <f t="shared" si="36"/>
        <v>12000</v>
      </c>
      <c r="F139" s="55" t="e">
        <f t="shared" si="36"/>
        <v>#REF!</v>
      </c>
      <c r="G139" s="55" t="e">
        <f t="shared" si="36"/>
        <v>#REF!</v>
      </c>
    </row>
    <row r="140" spans="1:7" s="18" customFormat="1" ht="15" hidden="1" customHeight="1" outlineLevel="1">
      <c r="C140" s="51"/>
      <c r="D140" s="51"/>
      <c r="E140" s="51"/>
      <c r="F140" s="51"/>
      <c r="G140" s="51"/>
    </row>
    <row r="141" spans="1:7" s="18" customFormat="1" ht="15" hidden="1" customHeight="1" outlineLevel="1">
      <c r="A141" s="22" t="s">
        <v>38</v>
      </c>
      <c r="C141" s="51"/>
      <c r="D141" s="51"/>
      <c r="E141" s="51"/>
      <c r="F141" s="51"/>
      <c r="G141" s="51"/>
    </row>
    <row r="142" spans="1:7" s="18" customFormat="1" ht="15" hidden="1" customHeight="1" outlineLevel="1">
      <c r="A142" s="35" t="s">
        <v>73</v>
      </c>
      <c r="C142" s="99" t="e">
        <f>C144-C143</f>
        <v>#REF!</v>
      </c>
      <c r="D142" s="99" t="e">
        <f>C144</f>
        <v>#REF!</v>
      </c>
      <c r="E142" s="99" t="e">
        <f t="shared" ref="E142:G142" si="37">D144</f>
        <v>#REF!</v>
      </c>
      <c r="F142" s="99" t="e">
        <f t="shared" si="37"/>
        <v>#REF!</v>
      </c>
      <c r="G142" s="99" t="e">
        <f t="shared" si="37"/>
        <v>#REF!</v>
      </c>
    </row>
    <row r="143" spans="1:7" s="18" customFormat="1" ht="15" hidden="1" customHeight="1" outlineLevel="1">
      <c r="A143" s="35" t="s">
        <v>80</v>
      </c>
      <c r="C143" s="51">
        <f>C77</f>
        <v>0</v>
      </c>
      <c r="D143" s="99" t="e">
        <f>D144-D142</f>
        <v>#REF!</v>
      </c>
      <c r="E143" s="99" t="e">
        <f t="shared" ref="E143:G143" si="38">E144-E142</f>
        <v>#REF!</v>
      </c>
      <c r="F143" s="99" t="e">
        <f t="shared" si="38"/>
        <v>#REF!</v>
      </c>
      <c r="G143" s="99" t="e">
        <f t="shared" si="38"/>
        <v>#REF!</v>
      </c>
    </row>
    <row r="144" spans="1:7" s="18" customFormat="1" ht="15" hidden="1" customHeight="1" outlineLevel="1">
      <c r="A144" s="49" t="s">
        <v>85</v>
      </c>
      <c r="C144" s="100" t="e">
        <f>#REF!</f>
        <v>#REF!</v>
      </c>
      <c r="D144" s="100" t="e">
        <f>#REF!</f>
        <v>#REF!</v>
      </c>
      <c r="E144" s="100" t="e">
        <f>#REF!</f>
        <v>#REF!</v>
      </c>
      <c r="F144" s="100" t="e">
        <f>#REF!</f>
        <v>#REF!</v>
      </c>
      <c r="G144" s="100" t="e">
        <f>#REF!</f>
        <v>#REF!</v>
      </c>
    </row>
    <row r="145" spans="1:7" s="18" customFormat="1" ht="15" hidden="1" customHeight="1" outlineLevel="1">
      <c r="C145" s="51"/>
      <c r="D145" s="51"/>
      <c r="E145" s="51"/>
      <c r="F145" s="51"/>
      <c r="G145" s="51"/>
    </row>
    <row r="146" spans="1:7" s="18" customFormat="1" ht="15" hidden="1" customHeight="1" outlineLevel="1">
      <c r="A146" s="35" t="s">
        <v>20</v>
      </c>
      <c r="C146" s="101">
        <f>C19</f>
        <v>113629.62</v>
      </c>
      <c r="D146" s="102">
        <f>D19</f>
        <v>133358.16</v>
      </c>
      <c r="E146" s="102">
        <f>E19</f>
        <v>237355.56</v>
      </c>
      <c r="F146" s="102">
        <f>F19</f>
        <v>271202.87999999989</v>
      </c>
      <c r="G146" s="102">
        <f>G19</f>
        <v>329558.58</v>
      </c>
    </row>
    <row r="147" spans="1:7" s="18" customFormat="1" ht="15" hidden="1" customHeight="1" outlineLevel="1">
      <c r="A147" s="35" t="s">
        <v>86</v>
      </c>
      <c r="C147" s="103">
        <f>C21</f>
        <v>4312</v>
      </c>
      <c r="D147" s="104">
        <f>D21</f>
        <v>4209</v>
      </c>
      <c r="E147" s="104">
        <f>E21</f>
        <v>2930.9750848000026</v>
      </c>
      <c r="F147" s="104" t="e">
        <f>F21</f>
        <v>#REF!</v>
      </c>
      <c r="G147" s="104" t="e">
        <f>G21</f>
        <v>#REF!</v>
      </c>
    </row>
    <row r="148" spans="1:7" s="18" customFormat="1" ht="15" hidden="1" customHeight="1" outlineLevel="1">
      <c r="C148" s="51"/>
      <c r="D148" s="51"/>
      <c r="E148" s="51"/>
      <c r="F148" s="51"/>
      <c r="G148" s="51"/>
    </row>
    <row r="149" spans="1:7" s="18" customFormat="1" ht="15" hidden="1" customHeight="1" outlineLevel="1">
      <c r="A149" s="22" t="s">
        <v>87</v>
      </c>
      <c r="B149" s="22"/>
      <c r="C149" s="51"/>
      <c r="D149" s="51"/>
      <c r="E149" s="51"/>
      <c r="F149" s="51"/>
      <c r="G149" s="51"/>
    </row>
    <row r="150" spans="1:7" s="18" customFormat="1" ht="15" hidden="1" customHeight="1" outlineLevel="1">
      <c r="A150" s="35" t="s">
        <v>73</v>
      </c>
      <c r="C150" s="34">
        <f>C153-C152-C151</f>
        <v>-103628.62</v>
      </c>
      <c r="D150" s="34">
        <f>C153</f>
        <v>5689</v>
      </c>
      <c r="E150" s="34">
        <f>D153</f>
        <v>134838.16</v>
      </c>
      <c r="F150" s="34">
        <f>E153</f>
        <v>369262.74491519999</v>
      </c>
      <c r="G150" s="34" t="e">
        <f t="shared" ref="G150" si="39">F153</f>
        <v>#REF!</v>
      </c>
    </row>
    <row r="151" spans="1:7" s="18" customFormat="1" ht="15" hidden="1" customHeight="1" outlineLevel="1">
      <c r="A151" s="35" t="s">
        <v>20</v>
      </c>
      <c r="C151" s="34">
        <f>C146</f>
        <v>113629.62</v>
      </c>
      <c r="D151" s="34">
        <f t="shared" ref="D151:G151" si="40">D146</f>
        <v>133358.16</v>
      </c>
      <c r="E151" s="34">
        <f t="shared" si="40"/>
        <v>237355.56</v>
      </c>
      <c r="F151" s="34">
        <f t="shared" si="40"/>
        <v>271202.87999999989</v>
      </c>
      <c r="G151" s="34">
        <f t="shared" si="40"/>
        <v>329558.58</v>
      </c>
    </row>
    <row r="152" spans="1:7" s="18" customFormat="1" ht="15" hidden="1" customHeight="1" outlineLevel="1">
      <c r="A152" s="35" t="s">
        <v>86</v>
      </c>
      <c r="C152" s="34">
        <f>-C147</f>
        <v>-4312</v>
      </c>
      <c r="D152" s="34">
        <f t="shared" ref="D152:G152" si="41">-D147</f>
        <v>-4209</v>
      </c>
      <c r="E152" s="34">
        <f t="shared" si="41"/>
        <v>-2930.9750848000026</v>
      </c>
      <c r="F152" s="34" t="e">
        <f t="shared" si="41"/>
        <v>#REF!</v>
      </c>
      <c r="G152" s="34" t="e">
        <f t="shared" si="41"/>
        <v>#REF!</v>
      </c>
    </row>
    <row r="153" spans="1:7" s="18" customFormat="1" ht="15" hidden="1" customHeight="1" outlineLevel="1">
      <c r="A153" s="49" t="s">
        <v>88</v>
      </c>
      <c r="B153" s="22"/>
      <c r="C153" s="105">
        <f t="shared" ref="C153" si="42">C49</f>
        <v>5689</v>
      </c>
      <c r="D153" s="55">
        <f>SUM(D150:D152)</f>
        <v>134838.16</v>
      </c>
      <c r="E153" s="55">
        <f t="shared" ref="E153:G153" si="43">SUM(E150:E152)</f>
        <v>369262.74491519999</v>
      </c>
      <c r="F153" s="55" t="e">
        <f t="shared" si="43"/>
        <v>#REF!</v>
      </c>
      <c r="G153" s="55" t="e">
        <f t="shared" si="43"/>
        <v>#REF!</v>
      </c>
    </row>
    <row r="154" spans="1:7" s="18" customFormat="1" ht="15" hidden="1" customHeight="1" outlineLevel="1">
      <c r="A154" s="22"/>
      <c r="B154" s="22"/>
      <c r="C154" s="56"/>
      <c r="D154" s="56"/>
      <c r="E154" s="56"/>
      <c r="F154" s="56"/>
      <c r="G154" s="56"/>
    </row>
    <row r="155" spans="1:7" s="18" customFormat="1" ht="15" hidden="1" customHeight="1" outlineLevel="1">
      <c r="A155" s="37"/>
      <c r="B155" s="37"/>
      <c r="C155" s="68"/>
      <c r="D155" s="68"/>
      <c r="E155" s="68"/>
      <c r="F155" s="68"/>
      <c r="G155" s="68"/>
    </row>
    <row r="156" spans="1:7" s="18" customFormat="1" ht="15" hidden="1" customHeight="1" collapsed="1">
      <c r="C156" s="51"/>
      <c r="D156" s="51"/>
      <c r="E156" s="51"/>
      <c r="F156" s="51"/>
      <c r="G156" s="51"/>
    </row>
    <row r="157" spans="1:7" s="11" customFormat="1" ht="15" hidden="1" customHeight="1">
      <c r="A157" s="2" t="s">
        <v>89</v>
      </c>
      <c r="B157" s="2"/>
      <c r="C157" s="2"/>
      <c r="D157" s="2"/>
      <c r="E157" s="2"/>
      <c r="F157" s="2"/>
      <c r="G157" s="2"/>
    </row>
    <row r="158" spans="1:7" s="11" customFormat="1" ht="15" hidden="1" customHeight="1" outlineLevel="1">
      <c r="A158" s="12"/>
      <c r="B158" s="12"/>
      <c r="C158" s="63"/>
      <c r="D158" s="63"/>
      <c r="E158" s="63"/>
      <c r="F158" s="63"/>
      <c r="G158" s="63"/>
    </row>
    <row r="159" spans="1:7" s="18" customFormat="1" ht="15" hidden="1" customHeight="1" outlineLevel="1">
      <c r="A159" s="41" t="s">
        <v>9</v>
      </c>
      <c r="B159" s="41"/>
      <c r="C159" s="4" t="e">
        <f>+#REF!</f>
        <v>#REF!</v>
      </c>
      <c r="D159" s="4" t="e">
        <f>+#REF!</f>
        <v>#REF!</v>
      </c>
      <c r="E159" s="4" t="e">
        <f>+#REF!</f>
        <v>#REF!</v>
      </c>
      <c r="F159" s="42" t="e">
        <f>+#REF!</f>
        <v>#REF!</v>
      </c>
      <c r="G159" s="42" t="e">
        <f>+#REF!</f>
        <v>#REF!</v>
      </c>
    </row>
    <row r="160" spans="1:7" s="18" customFormat="1" ht="15" hidden="1" customHeight="1" outlineLevel="1">
      <c r="A160" s="41"/>
      <c r="B160" s="41"/>
      <c r="C160" s="64"/>
      <c r="D160" s="64"/>
      <c r="E160" s="64"/>
      <c r="F160" s="64"/>
      <c r="G160" s="64"/>
    </row>
    <row r="161" spans="1:7" s="18" customFormat="1" ht="15" hidden="1" customHeight="1" outlineLevel="1">
      <c r="A161" s="22" t="s">
        <v>8</v>
      </c>
      <c r="B161" s="22"/>
      <c r="C161" s="51"/>
      <c r="D161" s="51"/>
      <c r="E161" s="51"/>
      <c r="F161" s="51"/>
      <c r="G161" s="51"/>
    </row>
    <row r="162" spans="1:7" s="18" customFormat="1" ht="15" hidden="1" customHeight="1" outlineLevel="1">
      <c r="A162" s="35" t="s">
        <v>60</v>
      </c>
      <c r="C162" s="34"/>
      <c r="D162" s="34"/>
      <c r="E162" s="34"/>
      <c r="F162" s="34"/>
      <c r="G162" s="34"/>
    </row>
    <row r="163" spans="1:7" s="18" customFormat="1" ht="15" hidden="1" customHeight="1" outlineLevel="1">
      <c r="A163" s="35" t="s">
        <v>14</v>
      </c>
      <c r="C163" s="34"/>
      <c r="D163" s="34"/>
      <c r="E163" s="34"/>
      <c r="F163" s="34"/>
      <c r="G163" s="34"/>
    </row>
    <row r="164" spans="1:7" s="18" customFormat="1" ht="15" hidden="1" customHeight="1" outlineLevel="1">
      <c r="A164" s="106" t="s">
        <v>90</v>
      </c>
      <c r="B164" s="58"/>
      <c r="C164" s="107"/>
      <c r="D164" s="107"/>
      <c r="E164" s="107"/>
      <c r="F164" s="107"/>
      <c r="G164" s="107"/>
    </row>
    <row r="165" spans="1:7" s="18" customFormat="1" ht="15" hidden="1" customHeight="1" outlineLevel="1">
      <c r="A165" s="106"/>
      <c r="B165" s="58"/>
      <c r="C165" s="108"/>
      <c r="D165" s="108"/>
      <c r="E165" s="108"/>
      <c r="F165" s="108"/>
      <c r="G165" s="108"/>
    </row>
    <row r="166" spans="1:7" s="18" customFormat="1" ht="15" hidden="1" customHeight="1" outlineLevel="1">
      <c r="A166" s="35" t="s">
        <v>20</v>
      </c>
      <c r="C166" s="34"/>
      <c r="D166" s="34"/>
      <c r="E166" s="34"/>
      <c r="F166" s="34"/>
      <c r="G166" s="34"/>
    </row>
    <row r="167" spans="1:7" s="18" customFormat="1" ht="15" hidden="1" customHeight="1" outlineLevel="1">
      <c r="A167" s="106" t="s">
        <v>91</v>
      </c>
      <c r="B167" s="58"/>
      <c r="C167" s="107"/>
      <c r="D167" s="107"/>
      <c r="E167" s="107"/>
      <c r="F167" s="107"/>
      <c r="G167" s="107"/>
    </row>
    <row r="168" spans="1:7" s="18" customFormat="1" ht="15" hidden="1" customHeight="1" outlineLevel="1"/>
    <row r="169" spans="1:7" s="18" customFormat="1" ht="15" hidden="1" customHeight="1" outlineLevel="1">
      <c r="A169" s="22" t="s">
        <v>92</v>
      </c>
      <c r="B169" s="22"/>
    </row>
    <row r="170" spans="1:7" s="18" customFormat="1" ht="15" hidden="1" customHeight="1" outlineLevel="1">
      <c r="A170" s="35" t="s">
        <v>93</v>
      </c>
      <c r="C170" s="34"/>
      <c r="D170" s="34"/>
      <c r="E170" s="34"/>
      <c r="F170" s="34"/>
      <c r="G170" s="34"/>
    </row>
    <row r="171" spans="1:7" s="18" customFormat="1" ht="15" hidden="1" customHeight="1" outlineLevel="1">
      <c r="A171" s="35" t="s">
        <v>94</v>
      </c>
      <c r="C171" s="34"/>
      <c r="D171" s="34"/>
      <c r="E171" s="34"/>
      <c r="F171" s="34"/>
      <c r="G171" s="34"/>
    </row>
    <row r="172" spans="1:7" s="18" customFormat="1" ht="15" hidden="1" customHeight="1" outlineLevel="1">
      <c r="A172" s="35" t="s">
        <v>95</v>
      </c>
      <c r="C172" s="34"/>
      <c r="D172" s="34"/>
      <c r="E172" s="34"/>
      <c r="F172" s="34"/>
      <c r="G172" s="34"/>
    </row>
    <row r="173" spans="1:7" s="18" customFormat="1" ht="15" hidden="1" customHeight="1" outlineLevel="1">
      <c r="A173" s="35" t="s">
        <v>96</v>
      </c>
      <c r="C173" s="109"/>
      <c r="D173" s="109"/>
      <c r="E173" s="109"/>
      <c r="F173" s="109"/>
      <c r="G173" s="109"/>
    </row>
    <row r="174" spans="1:7" s="18" customFormat="1" ht="15" hidden="1" customHeight="1" outlineLevel="1"/>
    <row r="175" spans="1:7" s="18" customFormat="1" ht="15" hidden="1" customHeight="1" outlineLevel="1"/>
    <row r="176" spans="1:7" s="18" customFormat="1" ht="15" hidden="1" customHeight="1" outlineLevel="1">
      <c r="A176" s="110" t="s">
        <v>8</v>
      </c>
      <c r="B176" s="110"/>
      <c r="C176" s="110"/>
      <c r="D176" s="110"/>
      <c r="F176" s="111" t="s">
        <v>43</v>
      </c>
      <c r="G176" s="111"/>
    </row>
    <row r="177" s="18" customFormat="1" ht="15" hidden="1" customHeight="1" outlineLevel="1"/>
    <row r="178" s="18" customFormat="1" ht="15" hidden="1" customHeight="1" outlineLevel="1"/>
    <row r="179" s="18" customFormat="1" ht="15" hidden="1" customHeight="1" outlineLevel="1"/>
    <row r="180" s="18" customFormat="1" ht="15" hidden="1" customHeight="1" outlineLevel="1"/>
    <row r="181" s="18" customFormat="1" ht="15" hidden="1" customHeight="1" outlineLevel="1"/>
    <row r="182" s="18" customFormat="1" ht="15" hidden="1" customHeight="1" outlineLevel="1"/>
    <row r="183" s="18" customFormat="1" ht="15" hidden="1" customHeight="1" outlineLevel="1"/>
    <row r="184" s="18" customFormat="1" ht="15" hidden="1" customHeight="1" outlineLevel="1"/>
    <row r="185" s="18" customFormat="1" ht="15" hidden="1" customHeight="1" outlineLevel="1"/>
    <row r="186" s="18" customFormat="1" ht="15" hidden="1" customHeight="1" outlineLevel="1"/>
    <row r="187" s="18" customFormat="1" ht="15" hidden="1" customHeight="1" outlineLevel="1"/>
    <row r="188" s="18" customFormat="1" ht="15" hidden="1" customHeight="1" outlineLevel="1"/>
    <row r="189" s="18" customFormat="1" ht="15" hidden="1" customHeight="1" outlineLevel="1"/>
    <row r="190" s="18" customFormat="1" ht="15" hidden="1" customHeight="1" outlineLevel="1"/>
    <row r="191" s="18" customFormat="1" ht="15" hidden="1" customHeight="1" outlineLevel="1"/>
    <row r="192" s="18" customFormat="1" ht="15" hidden="1" customHeight="1" outlineLevel="1"/>
    <row r="193" spans="1:7" s="18" customFormat="1" ht="15" hidden="1" customHeight="1" outlineLevel="1"/>
    <row r="194" spans="1:7" s="18" customFormat="1" ht="15" hidden="1" customHeight="1" outlineLevel="1">
      <c r="A194" s="37"/>
      <c r="B194" s="37"/>
      <c r="C194" s="37"/>
      <c r="D194" s="37"/>
      <c r="E194" s="37"/>
      <c r="F194" s="37"/>
      <c r="G194" s="37"/>
    </row>
    <row r="195" spans="1:7" s="18" customFormat="1" ht="15" hidden="1" customHeight="1" collapsed="1"/>
    <row r="196" spans="1:7" s="18" customFormat="1" ht="15" customHeight="1"/>
    <row r="197" spans="1:7" s="11" customFormat="1" ht="15" customHeight="1">
      <c r="A197" s="1" t="s">
        <v>97</v>
      </c>
      <c r="B197" s="2"/>
      <c r="C197" s="2"/>
      <c r="D197" s="2"/>
      <c r="E197" s="2"/>
      <c r="F197" s="2"/>
      <c r="G197" s="2"/>
    </row>
    <row r="198" spans="1:7" s="18" customFormat="1" ht="15" customHeight="1"/>
    <row r="199" spans="1:7" s="18" customFormat="1" ht="15" customHeight="1" thickBot="1">
      <c r="A199" s="14" t="s">
        <v>9</v>
      </c>
      <c r="B199" s="15"/>
      <c r="C199" s="16" t="s">
        <v>2</v>
      </c>
      <c r="D199" s="16" t="s">
        <v>3</v>
      </c>
      <c r="E199" s="16" t="s">
        <v>4</v>
      </c>
      <c r="F199" s="16" t="s">
        <v>5</v>
      </c>
      <c r="G199" s="16" t="s">
        <v>6</v>
      </c>
    </row>
    <row r="200" spans="1:7" s="18" customFormat="1" ht="15" customHeight="1">
      <c r="A200" s="20"/>
      <c r="B200" s="20"/>
      <c r="C200" s="20"/>
      <c r="D200" s="20"/>
      <c r="E200" s="20"/>
      <c r="F200" s="20"/>
      <c r="G200" s="20"/>
    </row>
    <row r="201" spans="1:7" s="18" customFormat="1" ht="15" customHeight="1">
      <c r="A201" s="27" t="s">
        <v>98</v>
      </c>
      <c r="B201" s="20"/>
      <c r="C201" s="112">
        <v>120000</v>
      </c>
      <c r="D201" s="112">
        <v>180000</v>
      </c>
      <c r="E201" s="112">
        <v>350000</v>
      </c>
      <c r="F201" s="112">
        <v>420000</v>
      </c>
      <c r="G201" s="112">
        <v>500000</v>
      </c>
    </row>
    <row r="202" spans="1:7" s="18" customFormat="1" ht="15" customHeight="1">
      <c r="A202" s="27" t="s">
        <v>99</v>
      </c>
      <c r="B202" s="20"/>
      <c r="C202" s="112">
        <v>20000</v>
      </c>
      <c r="D202" s="112">
        <v>30000</v>
      </c>
      <c r="E202" s="112">
        <v>50000</v>
      </c>
      <c r="F202" s="112">
        <v>60000</v>
      </c>
      <c r="G202" s="112">
        <v>80000</v>
      </c>
    </row>
    <row r="203" spans="1:7" s="18" customFormat="1" ht="15" customHeight="1">
      <c r="A203" s="27" t="s">
        <v>100</v>
      </c>
      <c r="B203" s="20"/>
      <c r="C203" s="113">
        <v>10000</v>
      </c>
      <c r="D203" s="113">
        <v>20000</v>
      </c>
      <c r="E203" s="112">
        <v>50000</v>
      </c>
      <c r="F203" s="112">
        <v>70000</v>
      </c>
      <c r="G203" s="112">
        <v>120000</v>
      </c>
    </row>
    <row r="204" spans="1:7" s="22" customFormat="1" ht="15" customHeight="1" thickBot="1">
      <c r="A204" s="23" t="s">
        <v>101</v>
      </c>
      <c r="B204" s="19"/>
      <c r="C204" s="114">
        <f>SUM(C201:C203)</f>
        <v>150000</v>
      </c>
      <c r="D204" s="114">
        <f t="shared" ref="D204:G204" si="44">SUM(D201:D203)</f>
        <v>230000</v>
      </c>
      <c r="E204" s="114">
        <f t="shared" si="44"/>
        <v>450000</v>
      </c>
      <c r="F204" s="114">
        <f t="shared" si="44"/>
        <v>550000</v>
      </c>
      <c r="G204" s="114">
        <f t="shared" si="44"/>
        <v>700000</v>
      </c>
    </row>
  </sheetData>
  <conditionalFormatting sqref="C54:G54">
    <cfRule type="expression" dxfId="0" priority="1">
      <formula>C$84&lt;&gt;0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14B88540A327449DC28A3B30C0AE3B" ma:contentTypeVersion="8" ma:contentTypeDescription="Create a new document." ma:contentTypeScope="" ma:versionID="f06aaef44e7af1debf599952dfb0f3d6">
  <xsd:schema xmlns:xsd="http://www.w3.org/2001/XMLSchema" xmlns:xs="http://www.w3.org/2001/XMLSchema" xmlns:p="http://schemas.microsoft.com/office/2006/metadata/properties" xmlns:ns2="daefea9a-825f-458f-b7e8-8684c71e7b2f" targetNamespace="http://schemas.microsoft.com/office/2006/metadata/properties" ma:root="true" ma:fieldsID="38fa2828b9bd97681938a6400d78c8c8" ns2:_="">
    <xsd:import namespace="daefea9a-825f-458f-b7e8-8684c71e7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ea9a-825f-458f-b7e8-8684c71e7b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D39FA5-7B01-4677-BC1E-9DF05550CD4B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daefea9a-825f-458f-b7e8-8684c71e7b2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17D22DF-E523-4904-B270-CE03BD1D19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fea9a-825f-458f-b7e8-8684c71e7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65F6E6-DDD8-464F-85BE-00F13ADAD39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bb2b67-4cd3-42cf-a5c3-a63aaf5245ac}" enabled="0" method="" siteId="{14bb2b67-4cd3-42cf-a5c3-a63aaf5245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Assumptions RJPP</vt:lpstr>
      <vt:lpstr>Operasional</vt:lpstr>
      <vt:lpstr>Finansial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Jethro Hotbatahi Hasoloan</dc:creator>
  <cp:keywords/>
  <dc:description/>
  <cp:lastModifiedBy>Irfan Taufik Rau</cp:lastModifiedBy>
  <cp:revision/>
  <dcterms:created xsi:type="dcterms:W3CDTF">2026-10-23T03:31:52Z</dcterms:created>
  <dcterms:modified xsi:type="dcterms:W3CDTF">2026-10-23T11:23:41Z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0x0101003514B88540A327449DC28A3B30C0AE3B</vt:lpwstr>
  </property>
</Properties>
</file>