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736" documentId="11_C0AD03C342DF8C45CF09827AE132060B66CFF049" xr6:coauthVersionLast="47" xr6:coauthVersionMax="47" xr10:uidLastSave="{6BB3052D-A43C-4828-AD58-95804FB63A8F}"/>
  <bookViews>
    <workbookView xWindow="0" yWindow="0" windowWidth="0" windowHeight="0" xr2:uid="{00000000-000D-0000-FFFF-FFFF00000000}"/>
  </bookViews>
  <sheets>
    <sheet name="README" sheetId="1" r:id="rId1"/>
    <sheet name="Key Assumptions" sheetId="2" r:id="rId2"/>
    <sheet name="Operasional" sheetId="3" r:id="rId3"/>
    <sheet name="Finansial" sheetId="4" r:id="rId4"/>
    <sheet name="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5" l="1"/>
  <c r="I27" i="5"/>
  <c r="H27" i="5"/>
  <c r="G27" i="5"/>
  <c r="F27" i="5"/>
  <c r="J26" i="5"/>
  <c r="I26" i="5"/>
  <c r="H26" i="5"/>
  <c r="G26" i="5"/>
  <c r="F26" i="5"/>
  <c r="J25" i="5"/>
  <c r="I25" i="5"/>
  <c r="H25" i="5"/>
  <c r="G25" i="5"/>
  <c r="F25" i="5"/>
  <c r="J24" i="5"/>
  <c r="I24" i="5"/>
  <c r="H24" i="5"/>
  <c r="G24" i="5"/>
  <c r="F24" i="5"/>
  <c r="J23" i="5"/>
  <c r="I23" i="5"/>
  <c r="H23" i="5"/>
  <c r="G23" i="5"/>
  <c r="F23" i="5"/>
  <c r="J22" i="5"/>
  <c r="I22" i="5"/>
  <c r="H22" i="5"/>
  <c r="G22" i="5"/>
  <c r="F22" i="5"/>
  <c r="J21" i="5"/>
  <c r="I21" i="5"/>
  <c r="H21" i="5"/>
  <c r="G21" i="5"/>
  <c r="F21" i="5"/>
  <c r="J20" i="5"/>
  <c r="I20" i="5"/>
  <c r="H20" i="5"/>
  <c r="G20" i="5"/>
  <c r="F20" i="5"/>
  <c r="J19" i="5"/>
  <c r="I19" i="5"/>
  <c r="H19" i="5"/>
  <c r="G19" i="5"/>
  <c r="F19" i="5"/>
  <c r="J18" i="5"/>
  <c r="I18" i="5"/>
  <c r="H18" i="5"/>
  <c r="G18" i="5"/>
  <c r="F18" i="5"/>
  <c r="J17" i="5"/>
  <c r="I17" i="5"/>
  <c r="H17" i="5"/>
  <c r="G17" i="5"/>
  <c r="F17" i="5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11" i="5"/>
  <c r="I11" i="5"/>
  <c r="H11" i="5"/>
  <c r="G11" i="5"/>
  <c r="F11" i="5"/>
  <c r="J10" i="5"/>
  <c r="I10" i="5"/>
  <c r="H10" i="5"/>
  <c r="G10" i="5"/>
  <c r="F10" i="5"/>
  <c r="J9" i="5"/>
  <c r="I9" i="5"/>
  <c r="H9" i="5"/>
  <c r="G9" i="5"/>
  <c r="F9" i="5"/>
  <c r="J8" i="5"/>
  <c r="I8" i="5"/>
  <c r="H8" i="5"/>
  <c r="G8" i="5"/>
  <c r="F8" i="5"/>
  <c r="J7" i="5"/>
  <c r="I7" i="5"/>
  <c r="H7" i="5"/>
  <c r="G7" i="5"/>
  <c r="F7" i="5"/>
  <c r="J6" i="5"/>
  <c r="I6" i="5"/>
  <c r="H6" i="5"/>
  <c r="G6" i="5"/>
  <c r="F6" i="5"/>
  <c r="J5" i="5"/>
  <c r="I5" i="5"/>
  <c r="H5" i="5"/>
  <c r="G5" i="5"/>
  <c r="F5" i="5"/>
  <c r="J4" i="5"/>
  <c r="I4" i="5"/>
  <c r="H4" i="5"/>
  <c r="G4" i="5"/>
  <c r="F4" i="5"/>
  <c r="J3" i="5"/>
  <c r="I3" i="5"/>
  <c r="H3" i="5"/>
  <c r="G3" i="5"/>
  <c r="F3" i="5"/>
  <c r="G19" i="4"/>
  <c r="G18" i="4"/>
  <c r="G17" i="4"/>
  <c r="G16" i="4"/>
  <c r="G15" i="4"/>
  <c r="G13" i="4"/>
  <c r="G11" i="4"/>
  <c r="G9" i="4"/>
  <c r="G7" i="4"/>
  <c r="F19" i="4"/>
  <c r="F18" i="4"/>
  <c r="F17" i="4"/>
  <c r="F16" i="4"/>
  <c r="F15" i="4"/>
  <c r="F13" i="4"/>
  <c r="F11" i="4"/>
  <c r="F9" i="4"/>
  <c r="F7" i="4"/>
  <c r="E19" i="4"/>
  <c r="E18" i="4"/>
  <c r="E17" i="4"/>
  <c r="E16" i="4"/>
  <c r="E15" i="4"/>
  <c r="E13" i="4"/>
  <c r="E11" i="4"/>
  <c r="E9" i="4"/>
  <c r="E7" i="4"/>
  <c r="D19" i="4"/>
  <c r="D18" i="4"/>
  <c r="D17" i="4"/>
  <c r="D16" i="4"/>
  <c r="D15" i="4"/>
  <c r="D13" i="4"/>
  <c r="D11" i="4"/>
  <c r="D9" i="4"/>
  <c r="D7" i="4"/>
  <c r="C19" i="4"/>
  <c r="C18" i="4"/>
  <c r="C17" i="4"/>
  <c r="C16" i="4"/>
  <c r="C15" i="4"/>
  <c r="C13" i="4"/>
  <c r="C11" i="4"/>
  <c r="C9" i="4"/>
  <c r="C7" i="4"/>
  <c r="G11" i="3"/>
  <c r="G10" i="3"/>
  <c r="G9" i="3"/>
  <c r="G6" i="3"/>
  <c r="F11" i="3"/>
  <c r="F10" i="3"/>
  <c r="F9" i="3"/>
  <c r="F6" i="3"/>
  <c r="E11" i="3"/>
  <c r="E10" i="3"/>
  <c r="E9" i="3"/>
  <c r="E6" i="3"/>
  <c r="D11" i="3"/>
  <c r="D10" i="3"/>
  <c r="D9" i="3"/>
  <c r="D6" i="3"/>
  <c r="C11" i="3"/>
  <c r="C10" i="3"/>
  <c r="C9" i="3"/>
  <c r="C6" i="3"/>
</calcChain>
</file>

<file path=xl/sharedStrings.xml><?xml version="1.0" encoding="utf-8"?>
<sst xmlns="http://schemas.openxmlformats.org/spreadsheetml/2006/main" count="237" uniqueCount="81">
  <si>
    <t>PT ABC Energy — RJPP 2026–2030, Middle Scenario — Gas &amp; LNG (Gas Trading &amp; LNG) — README</t>
  </si>
  <si>
    <t>About this workbook</t>
  </si>
  <si>
    <t>Purpose: Knowledge source for the Microsoft 365 Copilot agent "3C - RJPP Analyst" (SPPU SPARK Copilot training). Dummy data for training only — not real company figures.</t>
  </si>
  <si>
    <t>Company: PT ABC Energy</t>
  </si>
  <si>
    <t>Plan: RJPP 2026–2030 (Rencana Jangka Panjang Perusahaan = company long-term plan)</t>
  </si>
  <si>
    <t>Business line: Gas &amp; LNG (Gas Trading &amp; LNG)</t>
  </si>
  <si>
    <t>Scenario: Middle</t>
  </si>
  <si>
    <t>Currency &amp; units: Financials are in USD thousands. Operational units are stated on each row (BBTUD, MMBTUD). Prices are per unit as stated (oil in USD/bbl, natural gas and LNG in USD/MMBtu); the exchange rate is in IDR per USD.</t>
  </si>
  <si>
    <t>Source: Refined from 4_BL_GasLNG_RJPP_2026_2030_MiddleScenario_ABCEnergy_v1.xlsx</t>
  </si>
  <si>
    <t>Color legend: blue font = input values; black font = formulas; green font = links pulling values from other sheets; bold rows with light-green fill = totals and key results.</t>
  </si>
  <si>
    <t>Sheet map</t>
  </si>
  <si>
    <t>README — this guide: purpose, scope, units, sheet map, change log and data notes.</t>
  </si>
  <si>
    <t>Key Assumptions — price and macro assumptions 2026–2030: Oil Price (USD/bbl), Harga Gas Bumi / natural gas price (USD/MMBtu), Harga LNG / LNG price (USD/MMBtu), exchange rate USD/IDR (IDR per USD).</t>
  </si>
  <si>
    <t>Operasional — gas trading volumes 2026–2030 (Niaga Gas and LNG Trading) in BBTUD and in MMBTUD (= BBTUD × 1000), each group with its total.</t>
  </si>
  <si>
    <t>Finansial — income statement 2026–2030 in USD thousands (Revenues through Net Income, EBITDA margin, Net margin), the corporate tax rate assumption, and Capital Expenditure (CAPEX).</t>
  </si>
  <si>
    <t>Data — one flat Excel Table (Data_GasLNG) with one row per metric of the Key Assumptions, Operasional and Finansial sheets and one column per year 2026–2030; every value links to its source cell.</t>
  </si>
  <si>
    <t>Changes from the source file</t>
  </si>
  <si>
    <t>Gave the unlabeled header row above the totals a proper label.</t>
  </si>
  <si>
    <t>Totals, subtotals, the MMBTUD conversions and revenue are now live formulas.</t>
  </si>
  <si>
    <t>The balance sheet and cash-flow sections of the source were removed because they contained broken references (#REF!) and template placeholder values.</t>
  </si>
  <si>
    <t>Data notes / to confirm</t>
  </si>
  <si>
    <t>None.</t>
  </si>
  <si>
    <t>Key Assumptions — RJPP 2026–2030, Middle Scenario — Gas &amp; LNG</t>
  </si>
  <si>
    <t>Parameter</t>
  </si>
  <si>
    <t>Unit</t>
  </si>
  <si>
    <t>2026</t>
  </si>
  <si>
    <t>2027</t>
  </si>
  <si>
    <t>2028</t>
  </si>
  <si>
    <t>2029</t>
  </si>
  <si>
    <t>2030</t>
  </si>
  <si>
    <t>Oil Price</t>
  </si>
  <si>
    <t>USD/bbl</t>
  </si>
  <si>
    <t>Harga Gas Bumi (natural gas price)</t>
  </si>
  <si>
    <t>USD/MMBtu</t>
  </si>
  <si>
    <t>Harga LNG (LNG price)</t>
  </si>
  <si>
    <t>Exchange rate USD/IDR</t>
  </si>
  <si>
    <t>IDR per USD</t>
  </si>
  <si>
    <t>Operasional — Gas Trading Volumes 2026–2030, Middle Scenario — Gas &amp; LNG</t>
  </si>
  <si>
    <t>Metric</t>
  </si>
  <si>
    <t>Gas trading (Niaga Gas) — BBTUD</t>
  </si>
  <si>
    <t>Niaga Gas</t>
  </si>
  <si>
    <t>BBTUD</t>
  </si>
  <si>
    <t>LNG Trading</t>
  </si>
  <si>
    <t>Total Volume Niaga Gas (BBTUD)</t>
  </si>
  <si>
    <t>Gas trading (Niaga Gas) — MMBTUD</t>
  </si>
  <si>
    <t>MMBTUD</t>
  </si>
  <si>
    <t>Total Volume Niaga Gas (MMBTUD)</t>
  </si>
  <si>
    <t>Finansial — Income Statement 2026–2030 (USD thousands), Middle Scenario — Gas &amp; LNG</t>
  </si>
  <si>
    <t>Line item</t>
  </si>
  <si>
    <t>Assumptions</t>
  </si>
  <si>
    <t>Corporate tax rate (applies to all years)</t>
  </si>
  <si>
    <t>%</t>
  </si>
  <si>
    <t>Income statement (USD thousands)</t>
  </si>
  <si>
    <t>Revenues</t>
  </si>
  <si>
    <t>USD thousands</t>
  </si>
  <si>
    <t>Cost of Goods Sold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</si>
  <si>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</si>
  <si>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</si>
  <si>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</si>
  <si>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</si>
  <si>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</si>
  <si>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</si>
  <si>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</t>
  </si>
  <si>
    <t>Taxes</t>
  </si>
  <si>
    <t>Net Income</t>
  </si>
  <si>
    <t>EBITDA margin</t>
  </si>
  <si>
    <t>Net margin</t>
  </si>
  <si>
    <t>Capital Expenditure (USD thousands)</t>
  </si>
  <si>
    <t>CAPEX</t>
  </si>
  <si>
    <t>Data — Gas &amp; LNG RJPP 2026–2030, Middle Scenario (flat table of every metric, linked to source cells)</t>
  </si>
  <si>
    <t>Business Line</t>
  </si>
  <si>
    <t>Sheet</t>
  </si>
  <si>
    <t>Section</t>
  </si>
  <si>
    <t>Gas &amp; LNG</t>
  </si>
  <si>
    <t>Key Assumptions</t>
  </si>
  <si>
    <t>Price &amp; macro assumptions</t>
  </si>
  <si>
    <t>Operasional</t>
  </si>
  <si>
    <t>Finansial</t>
  </si>
  <si>
    <t>Corporate tax rate</t>
  </si>
  <si>
    <t>Income statement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</si>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</sst>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8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b/>
      <sz val="11"/>
      <color rgb="FF003E7E"/>
      <name val="Aptos"/>
    </font>
    <font>
      <b/>
      <sz val="14"/>
      <color rgb="FF003E7E"/>
      <name val="Aptos"/>
    </font>
    <font>
      <b/>
      <sz val="11"/>
      <color rgb="FFFFFFFF"/>
      <name val="Aptos"/>
    </font>
    <font>
      <sz val="11"/>
      <color rgb="FF0000FF"/>
      <name val="Aptos"/>
    </font>
    <font>
      <sz val="11"/>
      <color rgb="FF008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003E7E"/>
        <bgColor indexed="64"/>
      </patternFill>
    </fill>
    <fill>
      <patternFill patternType="solid">
        <fgColor rgb="FFC9DDF0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3F7D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3E7E"/>
      </top>
      <bottom/>
      <diagonal/>
    </border>
    <border>
      <left/>
      <right/>
      <top style="thin">
        <color rgb="FF003E7E"/>
      </top>
      <bottom style="thin">
        <color rgb="FF003E7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quotePrefix="1" applyFont="1"/>
    <xf numFmtId="0" fontId="5" fillId="2" borderId="0" xfId="0" quotePrefix="1" applyFont="1" applyFill="1" applyAlignment="1">
      <alignment horizontal="center" vertic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1" fillId="4" borderId="0" xfId="0" applyFont="1" applyFill="1"/>
    <xf numFmtId="4" fontId="6" fillId="4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0" fontId="3" fillId="3" borderId="0" xfId="0" applyFont="1" applyFill="1"/>
    <xf numFmtId="0" fontId="2" fillId="5" borderId="0" xfId="0" applyFont="1" applyFill="1"/>
    <xf numFmtId="3" fontId="2" fillId="5" borderId="1" xfId="0" applyNumberFormat="1" applyFont="1" applyFill="1" applyBorder="1"/>
    <xf numFmtId="164" fontId="6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2" fillId="5" borderId="0" xfId="0" applyNumberFormat="1" applyFont="1" applyFill="1" applyAlignment="1">
      <alignment horizontal="right"/>
    </xf>
    <xf numFmtId="0" fontId="2" fillId="5" borderId="2" xfId="0" applyFont="1" applyFill="1" applyBorder="1"/>
    <xf numFmtId="165" fontId="2" fillId="5" borderId="2" xfId="0" applyNumberFormat="1" applyFont="1" applyFill="1" applyBorder="1" applyAlignment="1">
      <alignment horizontal="right"/>
    </xf>
    <xf numFmtId="164" fontId="1" fillId="4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4" fontId="7" fillId="4" borderId="0" xfId="0" applyNumberFormat="1" applyFont="1" applyFill="1" applyAlignment="1">
      <alignment horizontal="right"/>
    </xf>
    <xf numFmtId="3" fontId="7" fillId="4" borderId="0" xfId="0" applyNumberFormat="1" applyFont="1" applyFill="1" applyAlignment="1">
      <alignment horizontal="right"/>
    </xf>
    <xf numFmtId="3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7" fillId="4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164" fontId="7" fillId="4" borderId="0" xfId="0" applyNumberFormat="1" applyFont="1" applyFill="1" applyAlignment="1">
      <alignment horizontal="right"/>
    </xf>
  </cellXfs>
  <cellStyles count="1">
    <cellStyle name="Normal" xfId="0" builtinId="0"/>
  </cellStyles>
  <dxfs count="12"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003E7E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CF850-8349-4E33-9599-DC2F1C6AF7C9}" name="Data_Hulu" displayName="Data_Hulu" ref="A2:J29" totalsRowShown="0" headerRowDxfId="11" dataDxfId="10">
  <autoFilter ref="A2:J29" xr:uid="{4A5CF850-8349-4E33-9599-DC2F1C6AF7C9}"/>
  <tableColumns count="10">
    <tableColumn id="1" xr3:uid="{5B5FAC91-9857-424E-835B-9896DC47BC74}" name="Business Line" dataDxfId="9"/>
    <tableColumn id="2" xr3:uid="{BD01A035-76E9-4B5C-A19B-68229A381746}" name="Sheet" dataDxfId="8"/>
    <tableColumn id="3" xr3:uid="{7EFCAD11-ADAB-4546-BA58-68DA585CDD62}" name="Section" dataDxfId="7"/>
    <tableColumn id="4" xr3:uid="{FB4BDE3D-92F4-487C-B7C4-4556E569AD11}" name="Metric" dataDxfId="6"/>
    <tableColumn id="5" xr3:uid="{720EF48D-5FAD-4FFC-8C56-77BADBE39F1A}" name="Unit" dataDxfId="5"/>
    <tableColumn id="6" xr3:uid="{248F86B3-D6F7-4ECC-ADD2-3AAF7461B7D1}" name="2026" dataDxfId="4"/>
    <tableColumn id="7" xr3:uid="{604A33C3-7968-4AD2-BCF6-55E4A82B4E34}" name="2027" dataDxfId="3"/>
    <tableColumn id="8" xr3:uid="{F295B40F-C7B7-461C-8309-D25A4E759198}" name="2028" dataDxfId="2"/>
    <tableColumn id="9" xr3:uid="{6BBC9838-49CC-445C-B8FA-379192940C82}" name="2029" dataDxfId="1"/>
    <tableColumn id="10" xr3:uid="{7AE2D856-2CFD-420A-B346-C3E4749679B2}" name="203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5.7109375" customWidth="1"/>
    <col min="2" max="2" width="110.7109375" customWidth="1"/>
  </cols>
  <sheetData>
    <row r="1" spans="1:2" ht="26.25" customHeight="1">
      <c r="A1" s="2" t="s">
        <v>0</v>
      </c>
      <c r="B1" s="2"/>
    </row>
    <row r="2" spans="1:2" ht="20.25" customHeight="1">
      <c r="A2" s="3" t="s">
        <v>1</v>
      </c>
      <c r="B2" s="3"/>
    </row>
    <row r="3" spans="1:2" ht="57.75">
      <c r="A3" s="5" t="s">
        <v>2</v>
      </c>
      <c r="B3" s="4"/>
    </row>
    <row r="4" spans="1:2">
      <c r="A4" s="7" t="s">
        <v>3</v>
      </c>
      <c r="B4" s="8"/>
    </row>
    <row r="5" spans="1:2" ht="43.5">
      <c r="A5" s="5" t="s">
        <v>4</v>
      </c>
      <c r="B5" s="4"/>
    </row>
    <row r="6" spans="1:2">
      <c r="A6" s="7" t="s">
        <v>5</v>
      </c>
      <c r="B6" s="8"/>
    </row>
    <row r="7" spans="1:2">
      <c r="A7" s="5" t="s">
        <v>6</v>
      </c>
      <c r="B7" s="4"/>
    </row>
    <row r="8" spans="1:2" ht="87">
      <c r="A8" s="7" t="s">
        <v>7</v>
      </c>
      <c r="B8" s="8"/>
    </row>
    <row r="9" spans="1:2" ht="43.5">
      <c r="A9" s="5" t="s">
        <v>8</v>
      </c>
      <c r="B9" s="4"/>
    </row>
    <row r="10" spans="1:2" ht="57.75">
      <c r="A10" s="7" t="s">
        <v>9</v>
      </c>
      <c r="B10" s="8"/>
    </row>
    <row r="11" spans="1:2">
      <c r="A11" s="5" t="s">
        <v>10</v>
      </c>
      <c r="B11" s="4"/>
    </row>
    <row r="12" spans="1:2">
      <c r="A12" s="6" t="s">
        <v>11</v>
      </c>
      <c r="B12" s="6"/>
    </row>
    <row r="13" spans="1:2" ht="72.75">
      <c r="A13" s="5" t="s">
        <v>12</v>
      </c>
      <c r="B13" s="4"/>
    </row>
    <row r="14" spans="1:2" ht="57.75">
      <c r="A14" s="7" t="s">
        <v>13</v>
      </c>
      <c r="B14" s="8"/>
    </row>
    <row r="15" spans="1:2" ht="72.75">
      <c r="A15" s="5" t="s">
        <v>14</v>
      </c>
      <c r="B15" s="4"/>
    </row>
    <row r="16" spans="1:2" ht="72.75">
      <c r="A16" s="7" t="s">
        <v>15</v>
      </c>
      <c r="B16" s="8"/>
    </row>
    <row r="17" spans="1:2">
      <c r="A17" s="5" t="s">
        <v>16</v>
      </c>
      <c r="B17" s="4"/>
    </row>
    <row r="18" spans="1:2">
      <c r="A18" s="6" t="s">
        <v>17</v>
      </c>
      <c r="B18" s="6"/>
    </row>
    <row r="19" spans="1:2" ht="29.25">
      <c r="A19" s="5" t="s">
        <v>18</v>
      </c>
      <c r="B19" s="4"/>
    </row>
    <row r="20" spans="1:2" ht="57.75">
      <c r="A20" s="7" t="s">
        <v>19</v>
      </c>
      <c r="B20" s="8"/>
    </row>
    <row r="21" spans="1:2">
      <c r="A21" s="5" t="s">
        <v>20</v>
      </c>
      <c r="B21" s="4"/>
    </row>
    <row r="22" spans="1:2">
      <c r="A22" s="7" t="s">
        <v>21</v>
      </c>
      <c r="B22" s="8"/>
    </row>
    <row r="23" spans="1:2">
      <c r="A23" s="6"/>
      <c r="B23" s="6"/>
    </row>
    <row r="24" spans="1:2">
      <c r="A24" s="5"/>
      <c r="B24" s="4"/>
    </row>
  </sheetData>
  <mergeCells count="4">
    <mergeCell ref="A1:B1"/>
    <mergeCell ref="A12:B12"/>
    <mergeCell ref="A18:B18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00E3-112F-4C5F-A743-5E541EBDF0B3}">
  <dimension ref="A1:G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14.7109375" customWidth="1"/>
    <col min="3" max="7" width="12.7109375" customWidth="1"/>
  </cols>
  <sheetData>
    <row r="1" spans="1:7" ht="26.25" customHeight="1">
      <c r="A1" s="2" t="s">
        <v>22</v>
      </c>
      <c r="B1" s="2"/>
      <c r="C1" s="2"/>
      <c r="D1" s="2"/>
      <c r="E1" s="2"/>
      <c r="F1" s="2"/>
      <c r="G1" s="2"/>
    </row>
    <row r="2" spans="1:7" ht="20.25" customHeight="1">
      <c r="A2" s="3" t="s">
        <v>23</v>
      </c>
      <c r="B2" s="3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</row>
    <row r="3" spans="1:7">
      <c r="A3" s="1" t="s">
        <v>30</v>
      </c>
      <c r="B3" s="1" t="s">
        <v>31</v>
      </c>
      <c r="C3" s="11">
        <v>70</v>
      </c>
      <c r="D3" s="11">
        <v>75</v>
      </c>
      <c r="E3" s="11">
        <v>80</v>
      </c>
      <c r="F3" s="11">
        <v>85</v>
      </c>
      <c r="G3" s="11">
        <v>90</v>
      </c>
    </row>
    <row r="4" spans="1:7">
      <c r="A4" s="13" t="s">
        <v>32</v>
      </c>
      <c r="B4" s="13" t="s">
        <v>33</v>
      </c>
      <c r="C4" s="14">
        <v>6.5</v>
      </c>
      <c r="D4" s="14">
        <v>6.8</v>
      </c>
      <c r="E4" s="14">
        <v>7.1</v>
      </c>
      <c r="F4" s="14">
        <v>7.4</v>
      </c>
      <c r="G4" s="14">
        <v>7.7</v>
      </c>
    </row>
    <row r="5" spans="1:7">
      <c r="A5" s="1" t="s">
        <v>34</v>
      </c>
      <c r="B5" s="1" t="s">
        <v>33</v>
      </c>
      <c r="C5" s="11">
        <v>13</v>
      </c>
      <c r="D5" s="11">
        <v>13</v>
      </c>
      <c r="E5" s="11">
        <v>14</v>
      </c>
      <c r="F5" s="11">
        <v>15</v>
      </c>
      <c r="G5" s="11">
        <v>16</v>
      </c>
    </row>
    <row r="6" spans="1:7">
      <c r="A6" s="13" t="s">
        <v>35</v>
      </c>
      <c r="B6" s="13" t="s">
        <v>36</v>
      </c>
      <c r="C6" s="15">
        <v>16500</v>
      </c>
      <c r="D6" s="15">
        <v>17000</v>
      </c>
      <c r="E6" s="15">
        <v>17500</v>
      </c>
      <c r="F6" s="15">
        <v>18000</v>
      </c>
      <c r="G6" s="15">
        <v>18500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C027-89F8-4923-9C4F-741024173129}">
  <dimension ref="A1:G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4.7109375" customWidth="1"/>
    <col min="2" max="2" width="11.7109375" customWidth="1"/>
    <col min="3" max="7" width="12.7109375" customWidth="1"/>
  </cols>
  <sheetData>
    <row r="1" spans="1:7" ht="26.25" customHeight="1">
      <c r="A1" s="2" t="s">
        <v>37</v>
      </c>
      <c r="B1" s="2"/>
      <c r="C1" s="2"/>
      <c r="D1" s="2"/>
      <c r="E1" s="2"/>
      <c r="F1" s="2"/>
      <c r="G1" s="2"/>
    </row>
    <row r="2" spans="1:7" ht="20.25" customHeight="1">
      <c r="A2" s="3" t="s">
        <v>38</v>
      </c>
      <c r="B2" s="3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</row>
    <row r="3" spans="1:7">
      <c r="A3" s="16" t="s">
        <v>39</v>
      </c>
      <c r="B3" s="16"/>
      <c r="C3" s="16"/>
      <c r="D3" s="16"/>
      <c r="E3" s="16"/>
      <c r="F3" s="16"/>
      <c r="G3" s="16"/>
    </row>
    <row r="4" spans="1:7">
      <c r="A4" s="1" t="s">
        <v>40</v>
      </c>
      <c r="B4" s="1" t="s">
        <v>41</v>
      </c>
      <c r="C4" s="12">
        <v>780</v>
      </c>
      <c r="D4" s="12">
        <v>870</v>
      </c>
      <c r="E4" s="12">
        <v>1000</v>
      </c>
      <c r="F4" s="12">
        <v>1150</v>
      </c>
      <c r="G4" s="12">
        <v>1250</v>
      </c>
    </row>
    <row r="5" spans="1:7">
      <c r="A5" s="13" t="s">
        <v>42</v>
      </c>
      <c r="B5" s="13" t="s">
        <v>41</v>
      </c>
      <c r="C5" s="15">
        <v>50</v>
      </c>
      <c r="D5" s="15">
        <v>100</v>
      </c>
      <c r="E5" s="15">
        <v>120</v>
      </c>
      <c r="F5" s="15">
        <v>140</v>
      </c>
      <c r="G5" s="15">
        <v>150</v>
      </c>
    </row>
    <row r="6" spans="1:7">
      <c r="A6" s="1" t="s">
        <v>43</v>
      </c>
      <c r="B6" s="1" t="s">
        <v>41</v>
      </c>
      <c r="C6" s="12">
        <f>SUM(C4:C5)</f>
        <v>830</v>
      </c>
      <c r="D6" s="12">
        <f>SUM(D4:D5)</f>
        <v>970</v>
      </c>
      <c r="E6" s="12">
        <f>SUM(E4:E5)</f>
        <v>1120</v>
      </c>
      <c r="F6" s="12">
        <f>SUM(F4:F5)</f>
        <v>1290</v>
      </c>
      <c r="G6" s="12">
        <f>SUM(G4:G5)</f>
        <v>1400</v>
      </c>
    </row>
    <row r="7" spans="1:7">
      <c r="A7" s="18"/>
      <c r="B7" s="18"/>
      <c r="C7" s="18"/>
      <c r="D7" s="18"/>
      <c r="E7" s="18"/>
      <c r="F7" s="18"/>
      <c r="G7" s="18"/>
    </row>
    <row r="8" spans="1:7">
      <c r="A8" s="1" t="s">
        <v>44</v>
      </c>
      <c r="B8" s="1"/>
      <c r="C8" s="1"/>
      <c r="D8" s="1"/>
      <c r="E8" s="1"/>
      <c r="F8" s="1"/>
      <c r="G8" s="1"/>
    </row>
    <row r="9" spans="1:7">
      <c r="A9" s="16" t="s">
        <v>40</v>
      </c>
      <c r="B9" s="16" t="s">
        <v>45</v>
      </c>
      <c r="C9" s="16">
        <f>C4*1000</f>
        <v>780000</v>
      </c>
      <c r="D9" s="16">
        <f>D4*1000</f>
        <v>870000</v>
      </c>
      <c r="E9" s="16">
        <f>E4*1000</f>
        <v>1000000</v>
      </c>
      <c r="F9" s="16">
        <f>F4*1000</f>
        <v>1150000</v>
      </c>
      <c r="G9" s="16">
        <f>G4*1000</f>
        <v>1250000</v>
      </c>
    </row>
    <row r="10" spans="1:7">
      <c r="A10" s="1" t="s">
        <v>42</v>
      </c>
      <c r="B10" s="1" t="s">
        <v>45</v>
      </c>
      <c r="C10" s="12">
        <f>C5*1000</f>
        <v>50000</v>
      </c>
      <c r="D10" s="12">
        <f>D5*1000</f>
        <v>100000</v>
      </c>
      <c r="E10" s="12">
        <f>E5*1000</f>
        <v>120000</v>
      </c>
      <c r="F10" s="12">
        <f>F5*1000</f>
        <v>140000</v>
      </c>
      <c r="G10" s="12">
        <f>G5*1000</f>
        <v>150000</v>
      </c>
    </row>
    <row r="11" spans="1:7">
      <c r="A11" s="13" t="s">
        <v>46</v>
      </c>
      <c r="B11" s="13" t="s">
        <v>45</v>
      </c>
      <c r="C11" s="15">
        <f>SUM(C9:C10)</f>
        <v>830000</v>
      </c>
      <c r="D11" s="15">
        <f>SUM(D9:D10)</f>
        <v>970000</v>
      </c>
      <c r="E11" s="15">
        <f>SUM(E9:E10)</f>
        <v>1120000</v>
      </c>
      <c r="F11" s="15">
        <f>SUM(F9:F10)</f>
        <v>1290000</v>
      </c>
      <c r="G11" s="15">
        <f>SUM(G9:G10)</f>
        <v>1400000</v>
      </c>
    </row>
    <row r="12" spans="1:7">
      <c r="A12" s="1"/>
      <c r="B12" s="1"/>
      <c r="C12" s="12"/>
      <c r="D12" s="12"/>
      <c r="E12" s="12"/>
      <c r="F12" s="12"/>
      <c r="G12" s="12"/>
    </row>
    <row r="13" spans="1:7">
      <c r="A13" s="18"/>
      <c r="B13" s="18"/>
      <c r="C13" s="18"/>
      <c r="D13" s="18"/>
      <c r="E13" s="18"/>
      <c r="F13" s="18"/>
      <c r="G13" s="18"/>
    </row>
    <row r="14" spans="1:7">
      <c r="A14" s="1"/>
      <c r="B14" s="1"/>
      <c r="C14" s="1"/>
      <c r="D14" s="1"/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787A-FCB5-41A6-9F6E-7E2B6452370C}">
  <dimension ref="A1:G2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7" width="14.7109375" customWidth="1"/>
  </cols>
  <sheetData>
    <row r="1" spans="1:7" ht="26.25" customHeight="1">
      <c r="A1" s="2" t="s">
        <v>47</v>
      </c>
      <c r="B1" s="2"/>
      <c r="C1" s="2"/>
      <c r="D1" s="2"/>
      <c r="E1" s="2"/>
      <c r="F1" s="2"/>
      <c r="G1" s="2"/>
    </row>
    <row r="2" spans="1:7" ht="20.25" customHeight="1">
      <c r="A2" s="3" t="s">
        <v>48</v>
      </c>
      <c r="B2" s="3" t="s">
        <v>24</v>
      </c>
      <c r="C2" s="10" t="s">
        <v>25</v>
      </c>
      <c r="D2" s="9" t="s">
        <v>26</v>
      </c>
      <c r="E2" s="9" t="s">
        <v>27</v>
      </c>
      <c r="F2" s="9" t="s">
        <v>28</v>
      </c>
      <c r="G2" s="9" t="s">
        <v>29</v>
      </c>
    </row>
    <row r="3" spans="1:7">
      <c r="A3" s="1" t="s">
        <v>49</v>
      </c>
      <c r="B3" s="1"/>
      <c r="C3" s="19"/>
      <c r="D3" s="1"/>
      <c r="E3" s="1"/>
      <c r="F3" s="1"/>
      <c r="G3" s="1"/>
    </row>
    <row r="4" spans="1:7">
      <c r="A4" s="1" t="s">
        <v>50</v>
      </c>
      <c r="B4" s="1" t="s">
        <v>51</v>
      </c>
      <c r="C4" s="1">
        <v>0.22</v>
      </c>
      <c r="D4" s="1"/>
      <c r="E4" s="1"/>
      <c r="F4" s="1"/>
      <c r="G4" s="1"/>
    </row>
    <row r="5" spans="1:7">
      <c r="A5" s="3"/>
      <c r="B5" s="3"/>
      <c r="C5" s="3"/>
      <c r="D5" s="3"/>
      <c r="E5" s="3"/>
      <c r="F5" s="3"/>
      <c r="G5" s="3"/>
    </row>
    <row r="6" spans="1:7">
      <c r="A6" s="16" t="s">
        <v>52</v>
      </c>
      <c r="B6" s="16"/>
      <c r="C6" s="16"/>
      <c r="D6" s="16"/>
      <c r="E6" s="16"/>
      <c r="F6" s="16"/>
      <c r="G6" s="16"/>
    </row>
    <row r="7" spans="1:7">
      <c r="A7" s="17" t="s">
        <v>53</v>
      </c>
      <c r="B7" s="17" t="s">
        <v>54</v>
      </c>
      <c r="C7" s="23">
        <f>(Operasional!C9*'Key Assumptions'!C4+Operasional!C10*'Key Assumptions'!C5)*365/1000</f>
        <v>2087800</v>
      </c>
      <c r="D7" s="23">
        <f>(Operasional!D9*'Key Assumptions'!D4+Operasional!D10*'Key Assumptions'!D5)*365/1000</f>
        <v>2633840</v>
      </c>
      <c r="E7" s="23">
        <f>(Operasional!E9*'Key Assumptions'!E4+Operasional!E10*'Key Assumptions'!E5)*365/1000</f>
        <v>3204700</v>
      </c>
      <c r="F7" s="23">
        <f>(Operasional!F9*'Key Assumptions'!F4+Operasional!F10*'Key Assumptions'!F5)*365/1000</f>
        <v>3872650</v>
      </c>
      <c r="G7" s="23">
        <f>(Operasional!G9*'Key Assumptions'!G4+Operasional!G10*'Key Assumptions'!G5)*365/1000</f>
        <v>4389125</v>
      </c>
    </row>
    <row r="8" spans="1:7">
      <c r="A8" s="1" t="s">
        <v>55</v>
      </c>
      <c r="B8" s="1" t="s">
        <v>54</v>
      </c>
      <c r="C8" s="22">
        <v>-1836000</v>
      </c>
      <c r="D8" s="22">
        <v>-2299000</v>
      </c>
      <c r="E8" s="22">
        <v>-2675000</v>
      </c>
      <c r="F8" s="22">
        <v>-3007000</v>
      </c>
      <c r="G8" s="22">
        <v>-3663000</v>
      </c>
    </row>
    <row r="9" spans="1:7">
      <c r="A9" s="17" t="s">
        <v>56</v>
      </c>
      <c r="B9" s="17" t="s">
        <v>54</v>
      </c>
      <c r="C9" s="23">
        <f>C7+C8</f>
        <v>251800</v>
      </c>
      <c r="D9" s="23">
        <f>D7+D8</f>
        <v>334840</v>
      </c>
      <c r="E9" s="23">
        <f>E7+E8</f>
        <v>529700</v>
      </c>
      <c r="F9" s="23">
        <f>F7+F8</f>
        <v>865650</v>
      </c>
      <c r="G9" s="23">
        <f>G7+G8</f>
        <v>726125</v>
      </c>
    </row>
    <row r="10" spans="1:7">
      <c r="A10" s="1" t="s">
        <v>57</v>
      </c>
      <c r="B10" s="1" t="s">
        <v>54</v>
      </c>
      <c r="C10" s="22">
        <v>-83500</v>
      </c>
      <c r="D10" s="22">
        <v>-97500</v>
      </c>
      <c r="E10" s="22">
        <v>-110700</v>
      </c>
      <c r="F10" s="22">
        <v>-121400</v>
      </c>
      <c r="G10" s="22">
        <v>-148700</v>
      </c>
    </row>
    <row r="11" spans="1:7">
      <c r="A11" s="17" t="s">
        <v>58</v>
      </c>
      <c r="B11" s="17" t="s">
        <v>54</v>
      </c>
      <c r="C11" s="23">
        <f>C9+C10</f>
        <v>168300</v>
      </c>
      <c r="D11" s="23">
        <f>D9+D10</f>
        <v>237340</v>
      </c>
      <c r="E11" s="23">
        <f>E9+E10</f>
        <v>419000</v>
      </c>
      <c r="F11" s="23">
        <f>F9+F10</f>
        <v>744250</v>
      </c>
      <c r="G11" s="23">
        <f>G9+G10</f>
        <v>577425</v>
      </c>
    </row>
    <row r="12" spans="1:7">
      <c r="A12" s="1" t="s">
        <v>59</v>
      </c>
      <c r="B12" s="1" t="s">
        <v>54</v>
      </c>
      <c r="C12" s="22">
        <v>-31300</v>
      </c>
      <c r="D12" s="22">
        <v>-39500</v>
      </c>
      <c r="E12" s="22">
        <v>-46100</v>
      </c>
      <c r="F12" s="22">
        <v>-52000</v>
      </c>
      <c r="G12" s="22">
        <v>-63700</v>
      </c>
    </row>
    <row r="13" spans="1:7">
      <c r="A13" s="17" t="s">
        <v>60</v>
      </c>
      <c r="B13" s="17" t="s">
        <v>54</v>
      </c>
      <c r="C13" s="23">
        <f>C11+C12</f>
        <v>137000</v>
      </c>
      <c r="D13" s="23">
        <f>D11+D12</f>
        <v>197840</v>
      </c>
      <c r="E13" s="23">
        <f>E11+E12</f>
        <v>372900</v>
      </c>
      <c r="F13" s="23">
        <f>F11+F12</f>
        <v>692250</v>
      </c>
      <c r="G13" s="23">
        <f>G11+G12</f>
        <v>513725</v>
      </c>
    </row>
    <row r="14" spans="1:7">
      <c r="A14" s="1" t="s">
        <v>61</v>
      </c>
      <c r="B14" s="1" t="s">
        <v>54</v>
      </c>
      <c r="C14" s="22">
        <v>-20000</v>
      </c>
      <c r="D14" s="22">
        <v>-20000</v>
      </c>
      <c r="E14" s="22">
        <v>-20000</v>
      </c>
      <c r="F14" s="22">
        <v>-20000</v>
      </c>
      <c r="G14" s="22">
        <v>-20000</v>
      </c>
    </row>
    <row r="15" spans="1:7">
      <c r="A15" s="17" t="s">
        <v>62</v>
      </c>
      <c r="B15" s="17" t="s">
        <v>54</v>
      </c>
      <c r="C15" s="23">
        <f>C13+C14</f>
        <v>117000</v>
      </c>
      <c r="D15" s="23">
        <f>D13+D14</f>
        <v>177840</v>
      </c>
      <c r="E15" s="23">
        <f>E13+E14</f>
        <v>352900</v>
      </c>
      <c r="F15" s="23">
        <f>F13+F14</f>
        <v>672250</v>
      </c>
      <c r="G15" s="23">
        <f>G13+G14</f>
        <v>493725</v>
      </c>
    </row>
    <row r="16" spans="1:7">
      <c r="A16" s="1" t="s">
        <v>63</v>
      </c>
      <c r="B16" s="1" t="s">
        <v>54</v>
      </c>
      <c r="C16" s="20">
        <f>-C15*$C$4</f>
        <v>-25740</v>
      </c>
      <c r="D16" s="20">
        <f>-D15*$C$4</f>
        <v>-39124.800000000003</v>
      </c>
      <c r="E16" s="20">
        <f>-E15*$C$4</f>
        <v>-77638</v>
      </c>
      <c r="F16" s="20">
        <f>-F15*$C$4</f>
        <v>-147895</v>
      </c>
      <c r="G16" s="20">
        <f>-G15*$C$4</f>
        <v>-108619.5</v>
      </c>
    </row>
    <row r="17" spans="1:7">
      <c r="A17" s="24" t="s">
        <v>64</v>
      </c>
      <c r="B17" s="24" t="s">
        <v>54</v>
      </c>
      <c r="C17" s="25">
        <f>C15+C16</f>
        <v>91260</v>
      </c>
      <c r="D17" s="25">
        <f>D15+D16</f>
        <v>138715.20000000001</v>
      </c>
      <c r="E17" s="25">
        <f>E15+E16</f>
        <v>275262</v>
      </c>
      <c r="F17" s="25">
        <f>F15+F16</f>
        <v>524355</v>
      </c>
      <c r="G17" s="25">
        <f>G15+G16</f>
        <v>385105.5</v>
      </c>
    </row>
    <row r="18" spans="1:7">
      <c r="A18" s="1" t="s">
        <v>65</v>
      </c>
      <c r="B18" s="1" t="s">
        <v>51</v>
      </c>
      <c r="C18" s="21">
        <f>IF(C7=0,0,C11/C7)</f>
        <v>8.0611169652265544E-2</v>
      </c>
      <c r="D18" s="21">
        <f>IF(D7=0,0,D11/D7)</f>
        <v>9.0111775962093368E-2</v>
      </c>
      <c r="E18" s="21">
        <f>IF(E7=0,0,E11/E7)</f>
        <v>0.13074546759447062</v>
      </c>
      <c r="F18" s="21">
        <f>IF(F7=0,0,F11/F7)</f>
        <v>0.19218106464565607</v>
      </c>
      <c r="G18" s="21">
        <f>IF(G7=0,0,G11/G7)</f>
        <v>0.13155811238003018</v>
      </c>
    </row>
    <row r="19" spans="1:7">
      <c r="A19" s="13" t="s">
        <v>66</v>
      </c>
      <c r="B19" s="13" t="s">
        <v>51</v>
      </c>
      <c r="C19" s="26">
        <f>IF(C7=0,0,C17/C7)</f>
        <v>4.3711083437110831E-2</v>
      </c>
      <c r="D19" s="26">
        <f>IF(D7=0,0,D17/D7)</f>
        <v>5.2666524921787201E-2</v>
      </c>
      <c r="E19" s="26">
        <f>IF(E7=0,0,E17/E7)</f>
        <v>8.589321933410303E-2</v>
      </c>
      <c r="F19" s="26">
        <f>IF(F7=0,0,F17/F7)</f>
        <v>0.13539953261978233</v>
      </c>
      <c r="G19" s="26">
        <f>IF(G7=0,0,G17/G7)</f>
        <v>8.7740836727138102E-2</v>
      </c>
    </row>
    <row r="20" spans="1:7">
      <c r="A20" s="1"/>
      <c r="B20" s="1"/>
      <c r="C20" s="1"/>
      <c r="D20" s="1"/>
      <c r="E20" s="1"/>
      <c r="F20" s="1"/>
      <c r="G20" s="1"/>
    </row>
    <row r="21" spans="1:7">
      <c r="A21" s="16" t="s">
        <v>67</v>
      </c>
      <c r="B21" s="16"/>
      <c r="C21" s="16"/>
      <c r="D21" s="16"/>
      <c r="E21" s="16"/>
      <c r="F21" s="16"/>
      <c r="G21" s="16"/>
    </row>
    <row r="22" spans="1:7">
      <c r="A22" s="1" t="s">
        <v>68</v>
      </c>
      <c r="B22" s="1" t="s">
        <v>54</v>
      </c>
      <c r="C22" s="22">
        <v>180000</v>
      </c>
      <c r="D22" s="22">
        <v>220000</v>
      </c>
      <c r="E22" s="22">
        <v>260000</v>
      </c>
      <c r="F22" s="22">
        <v>300000</v>
      </c>
      <c r="G22" s="22">
        <v>360000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0DC3-D9B7-4781-AECF-7619E14DE9AE}">
  <dimension ref="A1:J2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34.7109375" customWidth="1"/>
    <col min="4" max="4" width="28.7109375" customWidth="1"/>
    <col min="5" max="5" width="15.7109375" customWidth="1"/>
    <col min="6" max="10" width="14.7109375" customWidth="1"/>
  </cols>
  <sheetData>
    <row r="1" spans="1:10" ht="26.25" customHeight="1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</row>
    <row r="2" spans="1:10" ht="20.25" customHeight="1">
      <c r="A2" s="3" t="s">
        <v>70</v>
      </c>
      <c r="B2" s="3" t="s">
        <v>71</v>
      </c>
      <c r="C2" s="3" t="s">
        <v>72</v>
      </c>
      <c r="D2" s="3" t="s">
        <v>38</v>
      </c>
      <c r="E2" s="3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</row>
    <row r="3" spans="1:10">
      <c r="A3" s="1" t="s">
        <v>73</v>
      </c>
      <c r="B3" s="1" t="s">
        <v>74</v>
      </c>
      <c r="C3" s="1" t="s">
        <v>75</v>
      </c>
      <c r="D3" s="1" t="s">
        <v>30</v>
      </c>
      <c r="E3" s="1" t="s">
        <v>31</v>
      </c>
      <c r="F3" s="27">
        <f>'Key Assumptions'!C3</f>
        <v>70</v>
      </c>
      <c r="G3" s="27">
        <f>'Key Assumptions'!D3</f>
        <v>75</v>
      </c>
      <c r="H3" s="27">
        <f>'Key Assumptions'!E3</f>
        <v>80</v>
      </c>
      <c r="I3" s="27">
        <f>'Key Assumptions'!F3</f>
        <v>85</v>
      </c>
      <c r="J3" s="27">
        <f>'Key Assumptions'!G3</f>
        <v>90</v>
      </c>
    </row>
    <row r="4" spans="1:10">
      <c r="A4" s="13" t="s">
        <v>73</v>
      </c>
      <c r="B4" s="13" t="s">
        <v>74</v>
      </c>
      <c r="C4" s="13" t="s">
        <v>75</v>
      </c>
      <c r="D4" s="13" t="s">
        <v>32</v>
      </c>
      <c r="E4" s="13" t="s">
        <v>33</v>
      </c>
      <c r="F4" s="28">
        <f>'Key Assumptions'!C4</f>
        <v>6.5</v>
      </c>
      <c r="G4" s="28">
        <f>'Key Assumptions'!D4</f>
        <v>6.8</v>
      </c>
      <c r="H4" s="28">
        <f>'Key Assumptions'!E4</f>
        <v>7.1</v>
      </c>
      <c r="I4" s="28">
        <f>'Key Assumptions'!F4</f>
        <v>7.4</v>
      </c>
      <c r="J4" s="28">
        <f>'Key Assumptions'!G4</f>
        <v>7.7</v>
      </c>
    </row>
    <row r="5" spans="1:10">
      <c r="A5" s="1" t="s">
        <v>73</v>
      </c>
      <c r="B5" s="1" t="s">
        <v>74</v>
      </c>
      <c r="C5" s="1" t="s">
        <v>75</v>
      </c>
      <c r="D5" s="1" t="s">
        <v>34</v>
      </c>
      <c r="E5" s="1" t="s">
        <v>33</v>
      </c>
      <c r="F5" s="27">
        <f>'Key Assumptions'!C5</f>
        <v>13</v>
      </c>
      <c r="G5" s="27">
        <f>'Key Assumptions'!D5</f>
        <v>13</v>
      </c>
      <c r="H5" s="27">
        <f>'Key Assumptions'!E5</f>
        <v>14</v>
      </c>
      <c r="I5" s="27">
        <f>'Key Assumptions'!F5</f>
        <v>15</v>
      </c>
      <c r="J5" s="27">
        <f>'Key Assumptions'!G5</f>
        <v>16</v>
      </c>
    </row>
    <row r="6" spans="1:10">
      <c r="A6" s="13" t="s">
        <v>73</v>
      </c>
      <c r="B6" s="13" t="s">
        <v>74</v>
      </c>
      <c r="C6" s="13" t="s">
        <v>75</v>
      </c>
      <c r="D6" s="13" t="s">
        <v>35</v>
      </c>
      <c r="E6" s="13" t="s">
        <v>36</v>
      </c>
      <c r="F6" s="29">
        <f>'Key Assumptions'!C6</f>
        <v>16500</v>
      </c>
      <c r="G6" s="29">
        <f>'Key Assumptions'!D6</f>
        <v>17000</v>
      </c>
      <c r="H6" s="29">
        <f>'Key Assumptions'!E6</f>
        <v>17500</v>
      </c>
      <c r="I6" s="29">
        <f>'Key Assumptions'!F6</f>
        <v>18000</v>
      </c>
      <c r="J6" s="29">
        <f>'Key Assumptions'!G6</f>
        <v>18500</v>
      </c>
    </row>
    <row r="7" spans="1:10">
      <c r="A7" s="1" t="s">
        <v>73</v>
      </c>
      <c r="B7" s="1" t="s">
        <v>76</v>
      </c>
      <c r="C7" s="1" t="s">
        <v>39</v>
      </c>
      <c r="D7" s="1" t="s">
        <v>40</v>
      </c>
      <c r="E7" s="1" t="s">
        <v>41</v>
      </c>
      <c r="F7" s="30">
        <f>Operasional!C4</f>
        <v>780</v>
      </c>
      <c r="G7" s="30">
        <f>Operasional!D4</f>
        <v>870</v>
      </c>
      <c r="H7" s="30">
        <f>Operasional!E4</f>
        <v>1000</v>
      </c>
      <c r="I7" s="30">
        <f>Operasional!F4</f>
        <v>1150</v>
      </c>
      <c r="J7" s="30">
        <f>Operasional!G4</f>
        <v>1250</v>
      </c>
    </row>
    <row r="8" spans="1:10">
      <c r="A8" s="13" t="s">
        <v>73</v>
      </c>
      <c r="B8" s="13" t="s">
        <v>76</v>
      </c>
      <c r="C8" s="13" t="s">
        <v>39</v>
      </c>
      <c r="D8" s="13" t="s">
        <v>42</v>
      </c>
      <c r="E8" s="13" t="s">
        <v>41</v>
      </c>
      <c r="F8" s="29">
        <f>Operasional!C5</f>
        <v>50</v>
      </c>
      <c r="G8" s="29">
        <f>Operasional!D5</f>
        <v>100</v>
      </c>
      <c r="H8" s="29">
        <f>Operasional!E5</f>
        <v>120</v>
      </c>
      <c r="I8" s="29">
        <f>Operasional!F5</f>
        <v>140</v>
      </c>
      <c r="J8" s="29">
        <f>Operasional!G5</f>
        <v>150</v>
      </c>
    </row>
    <row r="9" spans="1:10">
      <c r="A9" s="1" t="s">
        <v>73</v>
      </c>
      <c r="B9" s="1" t="s">
        <v>76</v>
      </c>
      <c r="C9" s="1" t="s">
        <v>39</v>
      </c>
      <c r="D9" s="1" t="s">
        <v>43</v>
      </c>
      <c r="E9" s="1" t="s">
        <v>41</v>
      </c>
      <c r="F9" s="30">
        <f>Operasional!C6</f>
        <v>830</v>
      </c>
      <c r="G9" s="30">
        <f>Operasional!D6</f>
        <v>970</v>
      </c>
      <c r="H9" s="30">
        <f>Operasional!E6</f>
        <v>1120</v>
      </c>
      <c r="I9" s="30">
        <f>Operasional!F6</f>
        <v>1290</v>
      </c>
      <c r="J9" s="30">
        <f>Operasional!G6</f>
        <v>1400</v>
      </c>
    </row>
    <row r="10" spans="1:10">
      <c r="A10" s="13" t="s">
        <v>73</v>
      </c>
      <c r="B10" s="13" t="s">
        <v>76</v>
      </c>
      <c r="C10" s="13" t="s">
        <v>44</v>
      </c>
      <c r="D10" s="13" t="s">
        <v>40</v>
      </c>
      <c r="E10" s="13" t="s">
        <v>45</v>
      </c>
      <c r="F10" s="29">
        <f>Operasional!C9</f>
        <v>780000</v>
      </c>
      <c r="G10" s="29">
        <f>Operasional!D9</f>
        <v>870000</v>
      </c>
      <c r="H10" s="29">
        <f>Operasional!E9</f>
        <v>1000000</v>
      </c>
      <c r="I10" s="29">
        <f>Operasional!F9</f>
        <v>1150000</v>
      </c>
      <c r="J10" s="29">
        <f>Operasional!G9</f>
        <v>1250000</v>
      </c>
    </row>
    <row r="11" spans="1:10">
      <c r="A11" s="1" t="s">
        <v>73</v>
      </c>
      <c r="B11" s="1" t="s">
        <v>76</v>
      </c>
      <c r="C11" s="1" t="s">
        <v>44</v>
      </c>
      <c r="D11" s="1" t="s">
        <v>42</v>
      </c>
      <c r="E11" s="1" t="s">
        <v>45</v>
      </c>
      <c r="F11" s="30">
        <f>Operasional!C10</f>
        <v>50000</v>
      </c>
      <c r="G11" s="30">
        <f>Operasional!D10</f>
        <v>100000</v>
      </c>
      <c r="H11" s="30">
        <f>Operasional!E10</f>
        <v>120000</v>
      </c>
      <c r="I11" s="30">
        <f>Operasional!F10</f>
        <v>140000</v>
      </c>
      <c r="J11" s="30">
        <f>Operasional!G10</f>
        <v>150000</v>
      </c>
    </row>
    <row r="12" spans="1:10">
      <c r="A12" s="13" t="s">
        <v>73</v>
      </c>
      <c r="B12" s="13" t="s">
        <v>76</v>
      </c>
      <c r="C12" s="13" t="s">
        <v>44</v>
      </c>
      <c r="D12" s="13" t="s">
        <v>46</v>
      </c>
      <c r="E12" s="13" t="s">
        <v>45</v>
      </c>
      <c r="F12" s="29">
        <f>Operasional!C11</f>
        <v>830000</v>
      </c>
      <c r="G12" s="29">
        <f>Operasional!D11</f>
        <v>970000</v>
      </c>
      <c r="H12" s="29">
        <f>Operasional!E11</f>
        <v>1120000</v>
      </c>
      <c r="I12" s="29">
        <f>Operasional!F11</f>
        <v>1290000</v>
      </c>
      <c r="J12" s="29">
        <f>Operasional!G11</f>
        <v>1400000</v>
      </c>
    </row>
    <row r="13" spans="1:10">
      <c r="A13" s="1" t="s">
        <v>73</v>
      </c>
      <c r="B13" s="1" t="s">
        <v>77</v>
      </c>
      <c r="C13" s="1" t="s">
        <v>49</v>
      </c>
      <c r="D13" s="1" t="s">
        <v>78</v>
      </c>
      <c r="E13" s="1" t="s">
        <v>51</v>
      </c>
      <c r="F13" s="30">
        <f>Finansial!$C$4</f>
        <v>0.22</v>
      </c>
      <c r="G13" s="30">
        <f>Finansial!$C$4</f>
        <v>0.22</v>
      </c>
      <c r="H13" s="30">
        <f>Finansial!$C$4</f>
        <v>0.22</v>
      </c>
      <c r="I13" s="30">
        <f>Finansial!$C$4</f>
        <v>0.22</v>
      </c>
      <c r="J13" s="30">
        <f>Finansial!$C$4</f>
        <v>0.22</v>
      </c>
    </row>
    <row r="14" spans="1:10">
      <c r="A14" s="13" t="s">
        <v>73</v>
      </c>
      <c r="B14" s="13" t="s">
        <v>77</v>
      </c>
      <c r="C14" s="13" t="s">
        <v>79</v>
      </c>
      <c r="D14" s="13" t="s">
        <v>53</v>
      </c>
      <c r="E14" s="13" t="s">
        <v>54</v>
      </c>
      <c r="F14" s="29">
        <f>Finansial!C7</f>
        <v>2087800</v>
      </c>
      <c r="G14" s="29">
        <f>Finansial!D7</f>
        <v>2633840</v>
      </c>
      <c r="H14" s="29">
        <f>Finansial!E7</f>
        <v>3204700</v>
      </c>
      <c r="I14" s="29">
        <f>Finansial!F7</f>
        <v>3872650</v>
      </c>
      <c r="J14" s="29">
        <f>Finansial!G7</f>
        <v>4389125</v>
      </c>
    </row>
    <row r="15" spans="1:10">
      <c r="A15" s="1" t="s">
        <v>73</v>
      </c>
      <c r="B15" s="1" t="s">
        <v>77</v>
      </c>
      <c r="C15" s="1" t="s">
        <v>79</v>
      </c>
      <c r="D15" s="1" t="s">
        <v>55</v>
      </c>
      <c r="E15" s="1" t="s">
        <v>54</v>
      </c>
      <c r="F15" s="31">
        <f>Finansial!C8</f>
        <v>-1836000</v>
      </c>
      <c r="G15" s="31">
        <f>Finansial!D8</f>
        <v>-2299000</v>
      </c>
      <c r="H15" s="31">
        <f>Finansial!E8</f>
        <v>-2675000</v>
      </c>
      <c r="I15" s="31">
        <f>Finansial!F8</f>
        <v>-3007000</v>
      </c>
      <c r="J15" s="31">
        <f>Finansial!G8</f>
        <v>-3663000</v>
      </c>
    </row>
    <row r="16" spans="1:10">
      <c r="A16" s="13" t="s">
        <v>73</v>
      </c>
      <c r="B16" s="13" t="s">
        <v>77</v>
      </c>
      <c r="C16" s="13" t="s">
        <v>79</v>
      </c>
      <c r="D16" s="13" t="s">
        <v>56</v>
      </c>
      <c r="E16" s="13" t="s">
        <v>54</v>
      </c>
      <c r="F16" s="32">
        <f>Finansial!C9</f>
        <v>251800</v>
      </c>
      <c r="G16" s="32">
        <f>Finansial!D9</f>
        <v>334840</v>
      </c>
      <c r="H16" s="32">
        <f>Finansial!E9</f>
        <v>529700</v>
      </c>
      <c r="I16" s="32">
        <f>Finansial!F9</f>
        <v>865650</v>
      </c>
      <c r="J16" s="32">
        <f>Finansial!G9</f>
        <v>726125</v>
      </c>
    </row>
    <row r="17" spans="1:10">
      <c r="A17" s="1" t="s">
        <v>73</v>
      </c>
      <c r="B17" s="1" t="s">
        <v>77</v>
      </c>
      <c r="C17" s="1" t="s">
        <v>79</v>
      </c>
      <c r="D17" s="1" t="s">
        <v>57</v>
      </c>
      <c r="E17" s="1" t="s">
        <v>54</v>
      </c>
      <c r="F17" s="33">
        <f>Finansial!C10</f>
        <v>-83500</v>
      </c>
      <c r="G17" s="33">
        <f>Finansial!D10</f>
        <v>-97500</v>
      </c>
      <c r="H17" s="33">
        <f>Finansial!E10</f>
        <v>-110700</v>
      </c>
      <c r="I17" s="33">
        <f>Finansial!F10</f>
        <v>-121400</v>
      </c>
      <c r="J17" s="33">
        <f>Finansial!G10</f>
        <v>-148700</v>
      </c>
    </row>
    <row r="18" spans="1:10">
      <c r="A18" s="13" t="s">
        <v>73</v>
      </c>
      <c r="B18" s="13" t="s">
        <v>77</v>
      </c>
      <c r="C18" s="13" t="s">
        <v>79</v>
      </c>
      <c r="D18" s="13" t="s">
        <v>58</v>
      </c>
      <c r="E18" s="13" t="s">
        <v>54</v>
      </c>
      <c r="F18" s="32">
        <f>Finansial!C11</f>
        <v>168300</v>
      </c>
      <c r="G18" s="32">
        <f>Finansial!D11</f>
        <v>237340</v>
      </c>
      <c r="H18" s="32">
        <f>Finansial!E11</f>
        <v>419000</v>
      </c>
      <c r="I18" s="32">
        <f>Finansial!F11</f>
        <v>744250</v>
      </c>
      <c r="J18" s="32">
        <f>Finansial!G11</f>
        <v>577425</v>
      </c>
    </row>
    <row r="19" spans="1:10">
      <c r="A19" s="1" t="s">
        <v>73</v>
      </c>
      <c r="B19" s="1" t="s">
        <v>77</v>
      </c>
      <c r="C19" s="1" t="s">
        <v>79</v>
      </c>
      <c r="D19" s="1" t="s">
        <v>59</v>
      </c>
      <c r="E19" s="1" t="s">
        <v>54</v>
      </c>
      <c r="F19" s="33">
        <f>Finansial!C12</f>
        <v>-31300</v>
      </c>
      <c r="G19" s="33">
        <f>Finansial!D12</f>
        <v>-39500</v>
      </c>
      <c r="H19" s="33">
        <f>Finansial!E12</f>
        <v>-46100</v>
      </c>
      <c r="I19" s="33">
        <f>Finansial!F12</f>
        <v>-52000</v>
      </c>
      <c r="J19" s="33">
        <f>Finansial!G12</f>
        <v>-63700</v>
      </c>
    </row>
    <row r="20" spans="1:10">
      <c r="A20" s="13" t="s">
        <v>73</v>
      </c>
      <c r="B20" s="13" t="s">
        <v>77</v>
      </c>
      <c r="C20" s="13" t="s">
        <v>79</v>
      </c>
      <c r="D20" s="13" t="s">
        <v>60</v>
      </c>
      <c r="E20" s="13" t="s">
        <v>54</v>
      </c>
      <c r="F20" s="32">
        <f>Finansial!C13</f>
        <v>137000</v>
      </c>
      <c r="G20" s="32">
        <f>Finansial!D13</f>
        <v>197840</v>
      </c>
      <c r="H20" s="32">
        <f>Finansial!E13</f>
        <v>372900</v>
      </c>
      <c r="I20" s="32">
        <f>Finansial!F13</f>
        <v>692250</v>
      </c>
      <c r="J20" s="32">
        <f>Finansial!G13</f>
        <v>513725</v>
      </c>
    </row>
    <row r="21" spans="1:10">
      <c r="A21" s="1" t="s">
        <v>73</v>
      </c>
      <c r="B21" s="1" t="s">
        <v>77</v>
      </c>
      <c r="C21" s="1" t="s">
        <v>79</v>
      </c>
      <c r="D21" s="1" t="s">
        <v>61</v>
      </c>
      <c r="E21" s="1" t="s">
        <v>54</v>
      </c>
      <c r="F21" s="33">
        <f>Finansial!C14</f>
        <v>-20000</v>
      </c>
      <c r="G21" s="33">
        <f>Finansial!D14</f>
        <v>-20000</v>
      </c>
      <c r="H21" s="33">
        <f>Finansial!E14</f>
        <v>-20000</v>
      </c>
      <c r="I21" s="33">
        <f>Finansial!F14</f>
        <v>-20000</v>
      </c>
      <c r="J21" s="33">
        <f>Finansial!G14</f>
        <v>-20000</v>
      </c>
    </row>
    <row r="22" spans="1:10">
      <c r="A22" s="13" t="s">
        <v>73</v>
      </c>
      <c r="B22" s="13" t="s">
        <v>77</v>
      </c>
      <c r="C22" s="13" t="s">
        <v>79</v>
      </c>
      <c r="D22" s="13" t="s">
        <v>62</v>
      </c>
      <c r="E22" s="13" t="s">
        <v>54</v>
      </c>
      <c r="F22" s="32">
        <f>Finansial!C15</f>
        <v>117000</v>
      </c>
      <c r="G22" s="32">
        <f>Finansial!D15</f>
        <v>177840</v>
      </c>
      <c r="H22" s="32">
        <f>Finansial!E15</f>
        <v>352900</v>
      </c>
      <c r="I22" s="32">
        <f>Finansial!F15</f>
        <v>672250</v>
      </c>
      <c r="J22" s="32">
        <f>Finansial!G15</f>
        <v>493725</v>
      </c>
    </row>
    <row r="23" spans="1:10">
      <c r="A23" s="1" t="s">
        <v>73</v>
      </c>
      <c r="B23" s="1" t="s">
        <v>77</v>
      </c>
      <c r="C23" s="1" t="s">
        <v>79</v>
      </c>
      <c r="D23" s="1" t="s">
        <v>63</v>
      </c>
      <c r="E23" s="1" t="s">
        <v>54</v>
      </c>
      <c r="F23" s="33">
        <f>Finansial!C16</f>
        <v>-25740</v>
      </c>
      <c r="G23" s="33">
        <f>Finansial!D16</f>
        <v>-39124.800000000003</v>
      </c>
      <c r="H23" s="33">
        <f>Finansial!E16</f>
        <v>-77638</v>
      </c>
      <c r="I23" s="33">
        <f>Finansial!F16</f>
        <v>-147895</v>
      </c>
      <c r="J23" s="33">
        <f>Finansial!G16</f>
        <v>-108619.5</v>
      </c>
    </row>
    <row r="24" spans="1:10">
      <c r="A24" s="13" t="s">
        <v>73</v>
      </c>
      <c r="B24" s="13" t="s">
        <v>77</v>
      </c>
      <c r="C24" s="13" t="s">
        <v>79</v>
      </c>
      <c r="D24" s="13" t="s">
        <v>64</v>
      </c>
      <c r="E24" s="13" t="s">
        <v>54</v>
      </c>
      <c r="F24" s="32">
        <f>Finansial!C17</f>
        <v>91260</v>
      </c>
      <c r="G24" s="32">
        <f>Finansial!D17</f>
        <v>138715.20000000001</v>
      </c>
      <c r="H24" s="32">
        <f>Finansial!E17</f>
        <v>275262</v>
      </c>
      <c r="I24" s="32">
        <f>Finansial!F17</f>
        <v>524355</v>
      </c>
      <c r="J24" s="32">
        <f>Finansial!G17</f>
        <v>385105.5</v>
      </c>
    </row>
    <row r="25" spans="1:10">
      <c r="A25" s="1" t="s">
        <v>73</v>
      </c>
      <c r="B25" s="1" t="s">
        <v>77</v>
      </c>
      <c r="C25" s="1" t="s">
        <v>79</v>
      </c>
      <c r="D25" s="1" t="s">
        <v>65</v>
      </c>
      <c r="E25" s="1" t="s">
        <v>51</v>
      </c>
      <c r="F25" s="33">
        <f>Finansial!C18</f>
        <v>8.0611169652265544E-2</v>
      </c>
      <c r="G25" s="33">
        <f>Finansial!D18</f>
        <v>9.0111775962093368E-2</v>
      </c>
      <c r="H25" s="33">
        <f>Finansial!E18</f>
        <v>0.13074546759447062</v>
      </c>
      <c r="I25" s="33">
        <f>Finansial!F18</f>
        <v>0.19218106464565607</v>
      </c>
      <c r="J25" s="33">
        <f>Finansial!G18</f>
        <v>0.13155811238003018</v>
      </c>
    </row>
    <row r="26" spans="1:10">
      <c r="A26" s="13" t="s">
        <v>73</v>
      </c>
      <c r="B26" s="13" t="s">
        <v>77</v>
      </c>
      <c r="C26" s="13" t="s">
        <v>79</v>
      </c>
      <c r="D26" s="13" t="s">
        <v>66</v>
      </c>
      <c r="E26" s="13" t="s">
        <v>51</v>
      </c>
      <c r="F26" s="32">
        <f>Finansial!C19</f>
        <v>4.3711083437110831E-2</v>
      </c>
      <c r="G26" s="32">
        <f>Finansial!D19</f>
        <v>5.2666524921787201E-2</v>
      </c>
      <c r="H26" s="32">
        <f>Finansial!E19</f>
        <v>8.589321933410303E-2</v>
      </c>
      <c r="I26" s="32">
        <f>Finansial!F19</f>
        <v>0.13539953261978233</v>
      </c>
      <c r="J26" s="32">
        <f>Finansial!G19</f>
        <v>8.7740836727138102E-2</v>
      </c>
    </row>
    <row r="27" spans="1:10">
      <c r="A27" s="1" t="s">
        <v>73</v>
      </c>
      <c r="B27" s="1" t="s">
        <v>77</v>
      </c>
      <c r="C27" s="1" t="s">
        <v>80</v>
      </c>
      <c r="D27" s="1" t="s">
        <v>68</v>
      </c>
      <c r="E27" s="1" t="s">
        <v>54</v>
      </c>
      <c r="F27" s="31">
        <f>Finansial!C22</f>
        <v>180000</v>
      </c>
      <c r="G27" s="31">
        <f>Finansial!D22</f>
        <v>220000</v>
      </c>
      <c r="H27" s="31">
        <f>Finansial!E22</f>
        <v>260000</v>
      </c>
      <c r="I27" s="31">
        <f>Finansial!F22</f>
        <v>300000</v>
      </c>
      <c r="J27" s="31">
        <f>Finansial!G22</f>
        <v>360000</v>
      </c>
    </row>
    <row r="28" spans="1:10">
      <c r="A28" s="13"/>
      <c r="B28" s="13"/>
      <c r="C28" s="13"/>
      <c r="D28" s="13"/>
      <c r="E28" s="13"/>
      <c r="F28" s="34"/>
      <c r="G28" s="34"/>
      <c r="H28" s="34"/>
      <c r="I28" s="34"/>
      <c r="J28" s="34"/>
    </row>
    <row r="29" spans="1:10">
      <c r="A29" s="1"/>
      <c r="B29" s="1"/>
      <c r="C29" s="1"/>
      <c r="D29" s="1"/>
      <c r="E29" s="1"/>
      <c r="F29" s="33"/>
      <c r="G29" s="33"/>
      <c r="H29" s="33"/>
      <c r="I29" s="33"/>
      <c r="J29" s="33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i:0#.f|membership|achindranata@microsoft.com</cp:lastModifiedBy>
  <cp:revision/>
  <dcterms:created xsi:type="dcterms:W3CDTF">2026-10-27T06:52:31Z</dcterms:created>
  <dcterms:modified xsi:type="dcterms:W3CDTF">2026-10-27T06:54:33Z</dcterms:modified>
  <cp:category/>
  <cp:contentStatus/>
</cp:coreProperties>
</file>