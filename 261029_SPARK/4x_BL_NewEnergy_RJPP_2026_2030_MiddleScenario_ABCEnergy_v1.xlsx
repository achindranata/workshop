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733" documentId="11_C0AD03C342DF8C45CB18D67AEB32060B66CFF049" xr6:coauthVersionLast="47" xr6:coauthVersionMax="47" xr10:uidLastSave="{0B61653B-1911-4EA4-83DF-5930B47C9A1E}"/>
  <bookViews>
    <workbookView xWindow="0" yWindow="0" windowWidth="0" windowHeight="0" xr2:uid="{00000000-000D-0000-FFFF-FFFF00000000}"/>
  </bookViews>
  <sheets>
    <sheet name="README" sheetId="1" r:id="rId1"/>
    <sheet name="Key Assumptions" sheetId="2" r:id="rId2"/>
    <sheet name="Operasional" sheetId="3" r:id="rId3"/>
    <sheet name="Finansial" sheetId="4" r:id="rId4"/>
    <sheet name="Dat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5" l="1"/>
  <c r="I28" i="5"/>
  <c r="H28" i="5"/>
  <c r="G28" i="5"/>
  <c r="F28" i="5"/>
  <c r="J27" i="5"/>
  <c r="I27" i="5"/>
  <c r="H27" i="5"/>
  <c r="G27" i="5"/>
  <c r="F27" i="5"/>
  <c r="J26" i="5"/>
  <c r="I26" i="5"/>
  <c r="H26" i="5"/>
  <c r="G26" i="5"/>
  <c r="F26" i="5"/>
  <c r="J25" i="5"/>
  <c r="I25" i="5"/>
  <c r="H25" i="5"/>
  <c r="G25" i="5"/>
  <c r="F25" i="5"/>
  <c r="J24" i="5"/>
  <c r="I24" i="5"/>
  <c r="H24" i="5"/>
  <c r="G24" i="5"/>
  <c r="F24" i="5"/>
  <c r="J23" i="5"/>
  <c r="I23" i="5"/>
  <c r="H23" i="5"/>
  <c r="G23" i="5"/>
  <c r="F23" i="5"/>
  <c r="J22" i="5"/>
  <c r="I22" i="5"/>
  <c r="H22" i="5"/>
  <c r="G22" i="5"/>
  <c r="F22" i="5"/>
  <c r="J21" i="5"/>
  <c r="I21" i="5"/>
  <c r="H21" i="5"/>
  <c r="G21" i="5"/>
  <c r="F21" i="5"/>
  <c r="J20" i="5"/>
  <c r="I20" i="5"/>
  <c r="H20" i="5"/>
  <c r="G20" i="5"/>
  <c r="F20" i="5"/>
  <c r="J19" i="5"/>
  <c r="I19" i="5"/>
  <c r="H19" i="5"/>
  <c r="G19" i="5"/>
  <c r="F19" i="5"/>
  <c r="J18" i="5"/>
  <c r="I18" i="5"/>
  <c r="H18" i="5"/>
  <c r="G18" i="5"/>
  <c r="F18" i="5"/>
  <c r="J17" i="5"/>
  <c r="I17" i="5"/>
  <c r="H17" i="5"/>
  <c r="G17" i="5"/>
  <c r="F17" i="5"/>
  <c r="J16" i="5"/>
  <c r="I16" i="5"/>
  <c r="H16" i="5"/>
  <c r="G16" i="5"/>
  <c r="F16" i="5"/>
  <c r="J15" i="5"/>
  <c r="I15" i="5"/>
  <c r="H15" i="5"/>
  <c r="G15" i="5"/>
  <c r="F15" i="5"/>
  <c r="J14" i="5"/>
  <c r="I14" i="5"/>
  <c r="H14" i="5"/>
  <c r="G14" i="5"/>
  <c r="F14" i="5"/>
  <c r="J13" i="5"/>
  <c r="I13" i="5"/>
  <c r="H13" i="5"/>
  <c r="G13" i="5"/>
  <c r="F13" i="5"/>
  <c r="J12" i="5"/>
  <c r="I12" i="5"/>
  <c r="H12" i="5"/>
  <c r="G12" i="5"/>
  <c r="F12" i="5"/>
  <c r="J11" i="5"/>
  <c r="I11" i="5"/>
  <c r="H11" i="5"/>
  <c r="G11" i="5"/>
  <c r="F11" i="5"/>
  <c r="J10" i="5"/>
  <c r="I10" i="5"/>
  <c r="H10" i="5"/>
  <c r="G10" i="5"/>
  <c r="F10" i="5"/>
  <c r="J9" i="5"/>
  <c r="I9" i="5"/>
  <c r="H9" i="5"/>
  <c r="G9" i="5"/>
  <c r="F9" i="5"/>
  <c r="J8" i="5"/>
  <c r="I8" i="5"/>
  <c r="H8" i="5"/>
  <c r="G8" i="5"/>
  <c r="F8" i="5"/>
  <c r="J7" i="5"/>
  <c r="I7" i="5"/>
  <c r="H7" i="5"/>
  <c r="G7" i="5"/>
  <c r="F7" i="5"/>
  <c r="J6" i="5"/>
  <c r="I6" i="5"/>
  <c r="H6" i="5"/>
  <c r="G6" i="5"/>
  <c r="F6" i="5"/>
  <c r="J5" i="5"/>
  <c r="I5" i="5"/>
  <c r="H5" i="5"/>
  <c r="G5" i="5"/>
  <c r="F5" i="5"/>
  <c r="J4" i="5"/>
  <c r="I4" i="5"/>
  <c r="H4" i="5"/>
  <c r="G4" i="5"/>
  <c r="F4" i="5"/>
  <c r="J3" i="5"/>
  <c r="I3" i="5"/>
  <c r="H3" i="5"/>
  <c r="G3" i="5"/>
  <c r="F3" i="5"/>
  <c r="G18" i="4"/>
  <c r="F18" i="4"/>
  <c r="E18" i="4"/>
  <c r="D18" i="4"/>
  <c r="C18" i="4"/>
  <c r="G17" i="4"/>
  <c r="F17" i="4"/>
  <c r="E17" i="4"/>
  <c r="D17" i="4"/>
  <c r="C17" i="4"/>
  <c r="G16" i="4"/>
  <c r="F16" i="4"/>
  <c r="E16" i="4"/>
  <c r="D16" i="4"/>
  <c r="C16" i="4"/>
  <c r="G15" i="4"/>
  <c r="F15" i="4"/>
  <c r="E15" i="4"/>
  <c r="D15" i="4"/>
  <c r="C15" i="4"/>
  <c r="G14" i="4"/>
  <c r="F14" i="4"/>
  <c r="E14" i="4"/>
  <c r="D14" i="4"/>
  <c r="C14" i="4"/>
  <c r="G12" i="4"/>
  <c r="F12" i="4"/>
  <c r="E12" i="4"/>
  <c r="D12" i="4"/>
  <c r="C12" i="4"/>
  <c r="G10" i="4"/>
  <c r="F10" i="4"/>
  <c r="E10" i="4"/>
  <c r="D10" i="4"/>
  <c r="C10" i="4"/>
  <c r="G8" i="4"/>
  <c r="F8" i="4"/>
  <c r="E8" i="4"/>
  <c r="D8" i="4"/>
  <c r="C8" i="4"/>
  <c r="G6" i="4"/>
  <c r="F6" i="4"/>
  <c r="E6" i="4"/>
  <c r="D6" i="4"/>
  <c r="C6" i="4"/>
  <c r="G14" i="3"/>
  <c r="F14" i="3"/>
  <c r="E14" i="3"/>
  <c r="D14" i="3"/>
  <c r="C14" i="3"/>
  <c r="G13" i="3"/>
  <c r="F13" i="3"/>
  <c r="E13" i="3"/>
  <c r="D13" i="3"/>
  <c r="C13" i="3"/>
  <c r="G7" i="3"/>
  <c r="F7" i="3"/>
  <c r="E7" i="3"/>
  <c r="D7" i="3"/>
  <c r="C7" i="3"/>
</calcChain>
</file>

<file path=xl/sharedStrings.xml><?xml version="1.0" encoding="utf-8"?>
<sst xmlns="http://schemas.openxmlformats.org/spreadsheetml/2006/main" count="245" uniqueCount="80">
  <si>
    <t>README — PT ABC Energy RJPP 2026–2030 · New Energy (Geothermal, Solar &amp; Power) · Middle Scenario</t>
  </si>
  <si>
    <t>Workbook information</t>
  </si>
  <si>
    <t>Purpose: Knowledge source for the Microsoft 365 Copilot agent "3C - RJPP Analyst" (SPPU SPARK Copilot training). All figures are DUMMY training data, not real company figures.</t>
  </si>
  <si>
    <t>Company: PT ABC Energy</t>
  </si>
  <si>
    <t>Plan: RJPP 2026–2030 (Rencana Jangka Panjang Perusahaan = company long-term plan)</t>
  </si>
  <si>
    <t>Business line: New Energy (Geothermal, Solar &amp; Power)</t>
  </si>
  <si>
    <t>Scenario: Middle</t>
  </si>
  <si>
    <t>Currency &amp; units: Financials are in USD thousands. Operational units are stated per row (MW, GWh, kWh). Prices are stated per unit (Harga Listrik in USD/kWh; exchange rate in IDR per USD).</t>
  </si>
  <si>
    <t>Source: Refined from 4_BL_NewEnergy_RJPP_2026_2030_MiddleScenario_ABCEnergy_v1.xlsx</t>
  </si>
  <si>
    <t>Color legend: blue font = hardcoded input; black font = formula on the same sheet; green font = cross-sheet link; bold rows with light-green fill = totals and key results.</t>
  </si>
  <si>
    <t>Sheet map</t>
  </si>
  <si>
    <t>README: Purpose, scope, units, sheet map, change log and data notes for this workbook.</t>
  </si>
  <si>
    <t>Key Assumptions: Yearly inputs 2026–2030 — Harga Listrik (electricity price, USD/kWh) and exchange rate (IDR per USD).</t>
  </si>
  <si>
    <t>Operasional: Installed capacity (MW) by technology with Total Kapasitas Terpasang; power production (GWh) by technology with Total Produksi Listrik, plus the total converted to kWh.</t>
  </si>
  <si>
    <t>Finansial: Corporate tax rate assumption, income statement 2026–2030 (Revenues to Net Income, EBITDA and net margins) and Capital Expenditure (CAPEX), all in USD thousands.</t>
  </si>
  <si>
    <t>Data: One flat Excel Table (Data_NewEnergy) listing every metric of the Key Assumptions, Operasional and Finansial sheets, one row per metric with yearly values 2026–2030 linked to the source cells.</t>
  </si>
  <si>
    <t>Changes from the source file</t>
  </si>
  <si>
    <t>Fixed the typo "Kaspasitas" → "Kapasitas" and the unit "USD/kwH" → "USD/kWh".</t>
  </si>
  <si>
    <t>Totals, subtotals, the kWh conversion and revenue are now live formulas.</t>
  </si>
  <si>
    <t>The balance sheet and cash-flow sections of the source were removed because they contained broken references (#REF!) and template placeholder values.</t>
  </si>
  <si>
    <t>Data notes / to confirm</t>
  </si>
  <si>
    <t>None.</t>
  </si>
  <si>
    <t>Key Assumptions — PT ABC Energy New Energy RJPP 2026–2030 (Middle Scenario)</t>
  </si>
  <si>
    <t>Parameter</t>
  </si>
  <si>
    <t>Unit</t>
  </si>
  <si>
    <t>2026</t>
  </si>
  <si>
    <t>2027</t>
  </si>
  <si>
    <t>2028</t>
  </si>
  <si>
    <t>2029</t>
  </si>
  <si>
    <t>2030</t>
  </si>
  <si>
    <t>Harga Listrik (electricity price)</t>
  </si>
  <si>
    <t>USD/kWh</t>
  </si>
  <si>
    <t>Exchange rate USD/IDR</t>
  </si>
  <si>
    <t>IDR per USD</t>
  </si>
  <si>
    <t>Operasional — Installed Capacity &amp; Power Production, New Energy RJPP 2026–2030 (Middle Scenario)</t>
  </si>
  <si>
    <t>Metric</t>
  </si>
  <si>
    <t>Installed capacity (Kapasitas Terpasang)</t>
  </si>
  <si>
    <t>Geothermal</t>
  </si>
  <si>
    <t>MW</t>
  </si>
  <si>
    <t>PLTS (solar)</t>
  </si>
  <si>
    <t>PLTSa (waste-to-energy)</t>
  </si>
  <si>
    <t>Total Kapasitas Terpasang</t>
  </si>
  <si>
    <t>Power production (Produksi Listrik)</t>
  </si>
  <si>
    <t>GWh</t>
  </si>
  <si>
    <t>Other New Energy</t>
  </si>
  <si>
    <t>Total Produksi Listrik</t>
  </si>
  <si>
    <t>Total Produksi Listrik (kWh)</t>
  </si>
  <si>
    <t>kWh</t>
  </si>
  <si>
    <t>Finansial — Income Statement &amp; CAPEX, New Energy RJPP 2026–2030 (Middle Scenario, USD thousands)</t>
  </si>
  <si>
    <t>Assumption</t>
  </si>
  <si>
    <t>Value</t>
  </si>
  <si>
    <t>Corporate tax rate</t>
  </si>
  <si>
    <t>%</t>
  </si>
  <si>
    <t>Line item</t>
  </si>
  <si>
    <t>Revenues</t>
  </si>
  <si>
    <t>USD thousands</t>
  </si>
  <si>
    <t>Cost of Goods Sold (COGS)</t>
  </si>
  <si>
    <t>Gross Profit</t>
  </si>
  <si>
    <t>SG&amp;A</t>
  </si>
  <si>
    <t>EBITDA</t>
  </si>
  <si>
    <t>DD&amp;A</t>
  </si>
  <si>
    <t>EBIT (Operating Profit)</t>
  </si>
  <si>
    <t>Interest Expense</t>
  </si>
  <si>
    <t>Earnings Before Taxes (EBT)</t>
  </si>
  <si>
    <t>Taxes</t>
  </si>
  <si>
    <t>Net Income</t>
  </si>
  <si>
    <t>EBITDA margin</t>
  </si>
  <si>
    <t>Net margin</t>
  </si>
  <si>
    <t>Capital Expenditure</t>
  </si>
  <si>
    <t>CAPEX</t>
  </si>
  <si>
    <t>Data — all New Energy RJPP 2026–2030 metrics (Middle Scenario), one row per metric, linked to source sheets</t>
  </si>
  <si>
    <t>Business Line</t>
  </si>
  <si>
    <t>Sheet</t>
  </si>
  <si>
    <t>Section</t>
  </si>
  <si>
    <t>New Energy</t>
  </si>
  <si>
    <t>Key Assumptions</t>
  </si>
  <si>
    <t>Operasional</t>
  </si>
  <si>
    <t>Finansial</t>
  </si>
  <si>
    <t>Assumptions</t>
  </si>
  <si>
    <t>Income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</si>
</sst>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;\(#,##0\);\-"/>
  </numFmts>
  <fonts count="9">
    <font>
      <sz val="11"/>
      <color theme="1"/>
      <name val="Calibri"/>
      <family val="2"/>
      <scheme val="minor"/>
    </font>
    <font>
      <sz val="11"/>
      <color theme="1"/>
      <name val="Aptos"/>
    </font>
    <font>
      <b/>
      <sz val="11"/>
      <color theme="1"/>
      <name val="Aptos"/>
    </font>
    <font>
      <b/>
      <sz val="11"/>
      <color rgb="FF003E7E"/>
      <name val="Aptos"/>
    </font>
    <font>
      <b/>
      <sz val="14"/>
      <color rgb="FF003E7E"/>
      <name val="Aptos"/>
    </font>
    <font>
      <b/>
      <sz val="11"/>
      <color rgb="FFFFFFFF"/>
      <name val="Aptos"/>
    </font>
    <font>
      <sz val="11"/>
      <color rgb="FF0000FF"/>
      <name val="Aptos"/>
    </font>
    <font>
      <sz val="11"/>
      <color rgb="FF008000"/>
      <name val="Aptos"/>
    </font>
    <font>
      <b/>
      <sz val="11"/>
      <color rgb="FF008000"/>
      <name val="Aptos"/>
    </font>
  </fonts>
  <fills count="5">
    <fill>
      <patternFill patternType="none"/>
    </fill>
    <fill>
      <patternFill patternType="gray125"/>
    </fill>
    <fill>
      <patternFill patternType="solid">
        <fgColor rgb="FF003E7E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F3F7D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3E7E"/>
      </bottom>
      <diagonal/>
    </border>
    <border>
      <left/>
      <right/>
      <top style="thin">
        <color rgb="FF003E7E"/>
      </top>
      <bottom/>
      <diagonal/>
    </border>
    <border>
      <left/>
      <right/>
      <top style="double">
        <color rgb="FF003E7E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164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0" fontId="1" fillId="3" borderId="0" xfId="0" applyFont="1" applyFill="1"/>
    <xf numFmtId="3" fontId="6" fillId="3" borderId="0" xfId="0" applyNumberFormat="1" applyFont="1" applyFill="1" applyAlignment="1">
      <alignment horizontal="right"/>
    </xf>
    <xf numFmtId="0" fontId="3" fillId="0" borderId="1" xfId="0" applyFont="1" applyBorder="1"/>
    <xf numFmtId="3" fontId="1" fillId="0" borderId="0" xfId="0" applyNumberFormat="1" applyFont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2" fillId="4" borderId="0" xfId="0" applyFont="1" applyFill="1"/>
    <xf numFmtId="3" fontId="2" fillId="4" borderId="0" xfId="0" applyNumberFormat="1" applyFont="1" applyFill="1" applyAlignment="1">
      <alignment horizontal="right"/>
    </xf>
    <xf numFmtId="0" fontId="2" fillId="4" borderId="2" xfId="0" applyFont="1" applyFill="1" applyBorder="1"/>
    <xf numFmtId="3" fontId="2" fillId="4" borderId="2" xfId="0" applyNumberFormat="1" applyFont="1" applyFill="1" applyBorder="1" applyAlignment="1">
      <alignment horizontal="right"/>
    </xf>
    <xf numFmtId="165" fontId="6" fillId="3" borderId="0" xfId="0" applyNumberFormat="1" applyFont="1" applyFill="1"/>
    <xf numFmtId="165" fontId="1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6" fontId="6" fillId="3" borderId="0" xfId="0" applyNumberFormat="1" applyFont="1" applyFill="1" applyAlignment="1">
      <alignment horizontal="right"/>
    </xf>
    <xf numFmtId="166" fontId="1" fillId="3" borderId="0" xfId="0" applyNumberFormat="1" applyFont="1" applyFill="1" applyAlignment="1">
      <alignment horizontal="right"/>
    </xf>
    <xf numFmtId="165" fontId="1" fillId="3" borderId="0" xfId="0" applyNumberFormat="1" applyFont="1" applyFill="1" applyAlignment="1">
      <alignment horizontal="right"/>
    </xf>
    <xf numFmtId="166" fontId="2" fillId="4" borderId="0" xfId="0" applyNumberFormat="1" applyFont="1" applyFill="1" applyAlignment="1">
      <alignment horizontal="right"/>
    </xf>
    <xf numFmtId="0" fontId="2" fillId="4" borderId="3" xfId="0" applyFont="1" applyFill="1" applyBorder="1"/>
    <xf numFmtId="166" fontId="2" fillId="4" borderId="3" xfId="0" applyNumberFormat="1" applyFont="1" applyFill="1" applyBorder="1" applyAlignment="1">
      <alignment horizontal="right"/>
    </xf>
    <xf numFmtId="3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3" fontId="7" fillId="3" borderId="0" xfId="0" applyNumberFormat="1" applyFont="1" applyFill="1" applyAlignment="1">
      <alignment horizontal="right"/>
    </xf>
    <xf numFmtId="3" fontId="8" fillId="4" borderId="0" xfId="0" applyNumberFormat="1" applyFont="1" applyFill="1" applyAlignment="1">
      <alignment horizontal="right"/>
    </xf>
    <xf numFmtId="165" fontId="7" fillId="0" borderId="0" xfId="0" applyNumberFormat="1" applyFont="1" applyAlignment="1">
      <alignment horizontal="right"/>
    </xf>
    <xf numFmtId="165" fontId="7" fillId="3" borderId="0" xfId="0" applyNumberFormat="1" applyFont="1" applyFill="1" applyAlignment="1">
      <alignment horizontal="right"/>
    </xf>
    <xf numFmtId="166" fontId="8" fillId="4" borderId="0" xfId="0" applyNumberFormat="1" applyFont="1" applyFill="1" applyAlignment="1">
      <alignment horizontal="right"/>
    </xf>
    <xf numFmtId="166" fontId="7" fillId="3" borderId="0" xfId="0" applyNumberFormat="1" applyFont="1" applyFill="1" applyAlignment="1">
      <alignment horizontal="right"/>
    </xf>
    <xf numFmtId="0" fontId="4" fillId="0" borderId="0" xfId="0" applyFont="1" applyAlignment="1"/>
  </cellXfs>
  <cellStyles count="1">
    <cellStyle name="Normal" xfId="0" builtinId="0"/>
  </cellStyles>
  <dxfs count="12">
    <dxf>
      <font>
        <color rgb="FF008000"/>
        <name val="Aptos"/>
      </font>
      <alignment horizontal="right"/>
    </dxf>
    <dxf>
      <font>
        <color rgb="FF008000"/>
        <name val="Aptos"/>
      </font>
      <alignment horizontal="right"/>
    </dxf>
    <dxf>
      <font>
        <color rgb="FF008000"/>
        <name val="Aptos"/>
      </font>
      <alignment horizontal="right"/>
    </dxf>
    <dxf>
      <font>
        <color rgb="FF008000"/>
        <name val="Aptos"/>
      </font>
      <alignment horizontal="right"/>
    </dxf>
    <dxf>
      <font>
        <color rgb="FF008000"/>
        <name val="Aptos"/>
      </font>
      <alignment horizontal="right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/>
        <color rgb="FFFFFFFF"/>
        <name val="Aptos"/>
      </font>
      <fill>
        <patternFill patternType="solid">
          <fgColor indexed="64"/>
          <bgColor rgb="FF003E7E"/>
        </patternFill>
      </fill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2DDD2-6F55-48A3-B250-DFCE8F3F6A9E}" name="Data_NewEnergy" displayName="Data_NewEnergy" ref="A2:J28" totalsRowShown="0" headerRowDxfId="11" dataDxfId="10">
  <autoFilter ref="A2:J28" xr:uid="{2BE2DDD2-6F55-48A3-B250-DFCE8F3F6A9E}"/>
  <tableColumns count="10">
    <tableColumn id="1" xr3:uid="{541B5857-5A9E-48E6-AB53-E5D78B30DC59}" name="Business Line" dataDxfId="9"/>
    <tableColumn id="2" xr3:uid="{70E9C03F-2CA4-41DB-8D01-0C073B8818AB}" name="Sheet" dataDxfId="8"/>
    <tableColumn id="3" xr3:uid="{BE822322-9068-4DB5-9C19-1E2A1B8B5FFA}" name="Section" dataDxfId="7"/>
    <tableColumn id="4" xr3:uid="{BDAC76C6-77F5-4FEB-8B41-E87777AA0B10}" name="Metric" dataDxfId="6"/>
    <tableColumn id="5" xr3:uid="{9B838B5E-C112-489B-8AA1-9CBEEC4104F0}" name="Unit" dataDxfId="5"/>
    <tableColumn id="6" xr3:uid="{DFB801A3-728C-4453-BB37-D36B7E0082FD}" name="2026" dataDxfId="4"/>
    <tableColumn id="7" xr3:uid="{F6A8AFBB-D225-41A4-87D2-47E096B4A50C}" name="2027" dataDxfId="3"/>
    <tableColumn id="8" xr3:uid="{78450530-9F25-4B68-8464-7E1F81F2D6AE}" name="2028" dataDxfId="2"/>
    <tableColumn id="9" xr3:uid="{0E7D2C0C-A613-415A-B578-B50007AF1D7B}" name="2029" dataDxfId="1"/>
    <tableColumn id="10" xr3:uid="{BEA10660-E44E-43AF-8DCA-2493EF448D2A}" name="203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5.7109375" customWidth="1"/>
  </cols>
  <sheetData>
    <row r="1" spans="1:1" ht="398.25">
      <c r="A1" s="3" t="s">
        <v>0</v>
      </c>
    </row>
    <row r="2" spans="1:1" ht="57.75">
      <c r="A2" s="4" t="s">
        <v>1</v>
      </c>
    </row>
    <row r="3" spans="1:1" ht="361.5">
      <c r="A3" s="2" t="s">
        <v>2</v>
      </c>
    </row>
    <row r="4" spans="1:1" ht="57.75">
      <c r="A4" s="2" t="s">
        <v>3</v>
      </c>
    </row>
    <row r="5" spans="1:1" ht="188.25">
      <c r="A5" s="2" t="s">
        <v>4</v>
      </c>
    </row>
    <row r="6" spans="1:1" ht="115.5">
      <c r="A6" s="2" t="s">
        <v>5</v>
      </c>
    </row>
    <row r="7" spans="1:1" ht="29.25">
      <c r="A7" s="2" t="s">
        <v>6</v>
      </c>
    </row>
    <row r="8" spans="1:1" ht="405">
      <c r="A8" s="2" t="s">
        <v>7</v>
      </c>
    </row>
    <row r="9" spans="1:1" ht="174">
      <c r="A9" s="2" t="s">
        <v>8</v>
      </c>
    </row>
    <row r="10" spans="1:1" ht="361.5">
      <c r="A10" s="2" t="s">
        <v>9</v>
      </c>
    </row>
    <row r="11" spans="1:1" ht="29.25">
      <c r="A11" s="5" t="s">
        <v>10</v>
      </c>
    </row>
    <row r="12" spans="1:1" ht="201.75">
      <c r="A12" s="2" t="s">
        <v>11</v>
      </c>
    </row>
    <row r="13" spans="1:1" ht="260.25">
      <c r="A13" s="2" t="s">
        <v>12</v>
      </c>
    </row>
    <row r="14" spans="1:1" ht="375.75">
      <c r="A14" s="2" t="s">
        <v>13</v>
      </c>
    </row>
    <row r="15" spans="1:1" ht="361.5">
      <c r="A15" s="2" t="s">
        <v>14</v>
      </c>
    </row>
    <row r="16" spans="1:1" ht="405">
      <c r="A16" s="2" t="s">
        <v>15</v>
      </c>
    </row>
    <row r="17" spans="1:1" ht="72.75">
      <c r="A17" s="5" t="s">
        <v>16</v>
      </c>
    </row>
    <row r="18" spans="1:1" ht="159">
      <c r="A18" s="2" t="s">
        <v>17</v>
      </c>
    </row>
    <row r="19" spans="1:1" ht="159">
      <c r="A19" s="2" t="s">
        <v>18</v>
      </c>
    </row>
    <row r="20" spans="1:1" ht="332.25">
      <c r="A20" s="2" t="s">
        <v>19</v>
      </c>
    </row>
    <row r="21" spans="1:1" ht="57.75">
      <c r="A21" s="5" t="s">
        <v>20</v>
      </c>
    </row>
    <row r="22" spans="1:1">
      <c r="A22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680C7-E376-4BC0-88A0-0B424FCFA7E1}">
  <dimension ref="A1:G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34.7109375" customWidth="1"/>
    <col min="2" max="2" width="14.7109375" customWidth="1"/>
    <col min="3" max="7" width="12.7109375" customWidth="1"/>
  </cols>
  <sheetData>
    <row r="1" spans="1:7" ht="18.75">
      <c r="A1" s="36" t="s">
        <v>22</v>
      </c>
      <c r="B1" s="36"/>
      <c r="C1" s="36"/>
      <c r="D1" s="36"/>
      <c r="E1" s="36"/>
      <c r="F1" s="36"/>
      <c r="G1" s="36"/>
    </row>
    <row r="2" spans="1:7">
      <c r="A2" s="6" t="s">
        <v>23</v>
      </c>
      <c r="B2" s="6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</row>
    <row r="3" spans="1:7">
      <c r="A3" s="1" t="s">
        <v>30</v>
      </c>
      <c r="B3" s="1" t="s">
        <v>31</v>
      </c>
      <c r="C3" s="8">
        <v>0.08</v>
      </c>
      <c r="D3" s="8">
        <v>8.2000000000000003E-2</v>
      </c>
      <c r="E3" s="8">
        <v>8.5000000000000006E-2</v>
      </c>
      <c r="F3" s="8">
        <v>8.6999999999999994E-2</v>
      </c>
      <c r="G3" s="8">
        <v>0.09</v>
      </c>
    </row>
    <row r="4" spans="1:7">
      <c r="A4" s="10" t="s">
        <v>32</v>
      </c>
      <c r="B4" s="10" t="s">
        <v>33</v>
      </c>
      <c r="C4" s="11">
        <v>16500</v>
      </c>
      <c r="D4" s="11">
        <v>17000</v>
      </c>
      <c r="E4" s="11">
        <v>17500</v>
      </c>
      <c r="F4" s="11">
        <v>18000</v>
      </c>
      <c r="G4" s="11">
        <v>18500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D369-5300-4817-A79F-19E7EFD21FE9}">
  <dimension ref="A1:G1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0.7109375" customWidth="1"/>
    <col min="2" max="2" width="9.7109375" customWidth="1"/>
    <col min="3" max="7" width="17.7109375" customWidth="1"/>
  </cols>
  <sheetData>
    <row r="1" spans="1:7" ht="18.75">
      <c r="A1" s="36" t="s">
        <v>34</v>
      </c>
      <c r="B1" s="36"/>
      <c r="C1" s="36"/>
      <c r="D1" s="36"/>
      <c r="E1" s="36"/>
      <c r="F1" s="36"/>
      <c r="G1" s="36"/>
    </row>
    <row r="2" spans="1:7">
      <c r="A2" s="6" t="s">
        <v>35</v>
      </c>
      <c r="B2" s="6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</row>
    <row r="3" spans="1:7">
      <c r="A3" s="12" t="s">
        <v>36</v>
      </c>
      <c r="B3" s="12"/>
      <c r="C3" s="12"/>
      <c r="D3" s="12"/>
      <c r="E3" s="12"/>
      <c r="F3" s="12"/>
      <c r="G3" s="12"/>
    </row>
    <row r="4" spans="1:7">
      <c r="A4" s="1" t="s">
        <v>37</v>
      </c>
      <c r="B4" s="1" t="s">
        <v>38</v>
      </c>
      <c r="C4" s="9">
        <v>880</v>
      </c>
      <c r="D4" s="9">
        <v>960</v>
      </c>
      <c r="E4" s="9">
        <v>1300</v>
      </c>
      <c r="F4" s="9">
        <v>1400</v>
      </c>
      <c r="G4" s="9">
        <v>1600</v>
      </c>
    </row>
    <row r="5" spans="1:7">
      <c r="A5" s="10" t="s">
        <v>39</v>
      </c>
      <c r="B5" s="10" t="s">
        <v>38</v>
      </c>
      <c r="C5" s="11">
        <v>160</v>
      </c>
      <c r="D5" s="11">
        <v>280</v>
      </c>
      <c r="E5" s="11">
        <v>320</v>
      </c>
      <c r="F5" s="11">
        <v>480</v>
      </c>
      <c r="G5" s="11">
        <v>500</v>
      </c>
    </row>
    <row r="6" spans="1:7">
      <c r="A6" s="1" t="s">
        <v>40</v>
      </c>
      <c r="B6" s="1" t="s">
        <v>38</v>
      </c>
      <c r="C6" s="9">
        <v>50</v>
      </c>
      <c r="D6" s="9">
        <v>50</v>
      </c>
      <c r="E6" s="9">
        <v>50</v>
      </c>
      <c r="F6" s="9">
        <v>50</v>
      </c>
      <c r="G6" s="9">
        <v>50</v>
      </c>
    </row>
    <row r="7" spans="1:7">
      <c r="A7" s="17" t="s">
        <v>41</v>
      </c>
      <c r="B7" s="17" t="s">
        <v>38</v>
      </c>
      <c r="C7" s="18">
        <f>SUM(C4:C6)</f>
        <v>1090</v>
      </c>
      <c r="D7" s="18">
        <f>SUM(D4:D6)</f>
        <v>1290</v>
      </c>
      <c r="E7" s="18">
        <f>SUM(E4:E6)</f>
        <v>1670</v>
      </c>
      <c r="F7" s="18">
        <f>SUM(F4:F6)</f>
        <v>1930</v>
      </c>
      <c r="G7" s="18">
        <f>SUM(G4:G6)</f>
        <v>2150</v>
      </c>
    </row>
    <row r="8" spans="1:7">
      <c r="A8" s="1"/>
      <c r="B8" s="1"/>
      <c r="C8" s="13"/>
      <c r="D8" s="13"/>
      <c r="E8" s="13"/>
      <c r="F8" s="13"/>
      <c r="G8" s="13"/>
    </row>
    <row r="9" spans="1:7">
      <c r="A9" s="12" t="s">
        <v>42</v>
      </c>
      <c r="B9" s="12"/>
      <c r="C9" s="14"/>
      <c r="D9" s="14"/>
      <c r="E9" s="14"/>
      <c r="F9" s="14"/>
      <c r="G9" s="14"/>
    </row>
    <row r="10" spans="1:7">
      <c r="A10" s="1" t="s">
        <v>37</v>
      </c>
      <c r="B10" s="1" t="s">
        <v>43</v>
      </c>
      <c r="C10" s="9">
        <v>5280</v>
      </c>
      <c r="D10" s="9">
        <v>5760</v>
      </c>
      <c r="E10" s="9">
        <v>9100</v>
      </c>
      <c r="F10" s="9">
        <v>9800</v>
      </c>
      <c r="G10" s="9">
        <v>11200</v>
      </c>
    </row>
    <row r="11" spans="1:7">
      <c r="A11" s="10" t="s">
        <v>39</v>
      </c>
      <c r="B11" s="10" t="s">
        <v>43</v>
      </c>
      <c r="C11" s="11">
        <v>40</v>
      </c>
      <c r="D11" s="11">
        <v>70</v>
      </c>
      <c r="E11" s="11">
        <v>160</v>
      </c>
      <c r="F11" s="11">
        <v>240</v>
      </c>
      <c r="G11" s="11">
        <v>250</v>
      </c>
    </row>
    <row r="12" spans="1:7">
      <c r="A12" s="1" t="s">
        <v>44</v>
      </c>
      <c r="B12" s="1" t="s">
        <v>43</v>
      </c>
      <c r="C12" s="9">
        <v>7</v>
      </c>
      <c r="D12" s="9">
        <v>42</v>
      </c>
      <c r="E12" s="9">
        <v>43</v>
      </c>
      <c r="F12" s="9">
        <v>44</v>
      </c>
      <c r="G12" s="9">
        <v>45</v>
      </c>
    </row>
    <row r="13" spans="1:7">
      <c r="A13" s="17" t="s">
        <v>45</v>
      </c>
      <c r="B13" s="17" t="s">
        <v>43</v>
      </c>
      <c r="C13" s="18">
        <f>SUM(C10:C12)</f>
        <v>5327</v>
      </c>
      <c r="D13" s="18">
        <f>SUM(D10:D12)</f>
        <v>5872</v>
      </c>
      <c r="E13" s="18">
        <f>SUM(E10:E12)</f>
        <v>9303</v>
      </c>
      <c r="F13" s="18">
        <f>SUM(F10:F12)</f>
        <v>10084</v>
      </c>
      <c r="G13" s="18">
        <f>SUM(G10:G12)</f>
        <v>11495</v>
      </c>
    </row>
    <row r="14" spans="1:7">
      <c r="A14" s="15" t="s">
        <v>46</v>
      </c>
      <c r="B14" s="15" t="s">
        <v>47</v>
      </c>
      <c r="C14" s="16">
        <f>C13*1000*1000</f>
        <v>5327000000</v>
      </c>
      <c r="D14" s="16">
        <f>D13*1000*1000</f>
        <v>5872000000</v>
      </c>
      <c r="E14" s="16">
        <f>E13*1000*1000</f>
        <v>9303000000</v>
      </c>
      <c r="F14" s="16">
        <f>F13*1000*1000</f>
        <v>10084000000</v>
      </c>
      <c r="G14" s="16">
        <f>G13*1000*1000</f>
        <v>11495000000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A96B6-ECD6-4091-9C55-D46C18F9C9BE}">
  <dimension ref="A1:G2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30.7109375" customWidth="1"/>
    <col min="2" max="2" width="15.7109375" customWidth="1"/>
    <col min="3" max="7" width="13.7109375" customWidth="1"/>
  </cols>
  <sheetData>
    <row r="1" spans="1:7" ht="18.75">
      <c r="A1" s="36" t="s">
        <v>48</v>
      </c>
      <c r="B1" s="36"/>
      <c r="C1" s="36"/>
      <c r="D1" s="36"/>
      <c r="E1" s="36"/>
      <c r="F1" s="36"/>
      <c r="G1" s="36"/>
    </row>
    <row r="2" spans="1:7">
      <c r="A2" s="6" t="s">
        <v>49</v>
      </c>
      <c r="B2" s="6" t="s">
        <v>24</v>
      </c>
      <c r="C2" s="6" t="s">
        <v>50</v>
      </c>
      <c r="D2" s="1"/>
      <c r="E2" s="1"/>
      <c r="F2" s="1"/>
      <c r="G2" s="1"/>
    </row>
    <row r="3" spans="1:7">
      <c r="A3" s="10" t="s">
        <v>51</v>
      </c>
      <c r="B3" s="10" t="s">
        <v>52</v>
      </c>
      <c r="C3" s="19">
        <v>0.22</v>
      </c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>
      <c r="A5" s="6" t="s">
        <v>53</v>
      </c>
      <c r="B5" s="6" t="s">
        <v>24</v>
      </c>
      <c r="C5" s="7" t="s">
        <v>25</v>
      </c>
      <c r="D5" s="7" t="s">
        <v>26</v>
      </c>
      <c r="E5" s="7" t="s">
        <v>27</v>
      </c>
      <c r="F5" s="7" t="s">
        <v>28</v>
      </c>
      <c r="G5" s="7" t="s">
        <v>29</v>
      </c>
    </row>
    <row r="6" spans="1:7">
      <c r="A6" s="15" t="s">
        <v>54</v>
      </c>
      <c r="B6" s="15" t="s">
        <v>55</v>
      </c>
      <c r="C6" s="25">
        <f>Operasional!C14*'Key Assumptions'!C3/1000</f>
        <v>426160</v>
      </c>
      <c r="D6" s="25">
        <f>Operasional!D14*'Key Assumptions'!D3/1000</f>
        <v>481504</v>
      </c>
      <c r="E6" s="25">
        <f>Operasional!E14*'Key Assumptions'!E3/1000</f>
        <v>790755</v>
      </c>
      <c r="F6" s="25">
        <f>Operasional!F14*'Key Assumptions'!F3/1000</f>
        <v>877307.99999999988</v>
      </c>
      <c r="G6" s="25">
        <f>Operasional!G14*'Key Assumptions'!G3/1000</f>
        <v>1034550</v>
      </c>
    </row>
    <row r="7" spans="1:7">
      <c r="A7" s="10" t="s">
        <v>56</v>
      </c>
      <c r="B7" s="10" t="s">
        <v>55</v>
      </c>
      <c r="C7" s="22">
        <v>-191772</v>
      </c>
      <c r="D7" s="22">
        <v>-211862</v>
      </c>
      <c r="E7" s="22">
        <v>-332117</v>
      </c>
      <c r="F7" s="22">
        <v>-359696</v>
      </c>
      <c r="G7" s="22">
        <v>-413820</v>
      </c>
    </row>
    <row r="8" spans="1:7">
      <c r="A8" s="15" t="s">
        <v>57</v>
      </c>
      <c r="B8" s="15" t="s">
        <v>55</v>
      </c>
      <c r="C8" s="25">
        <f>C6+C7</f>
        <v>234388</v>
      </c>
      <c r="D8" s="25">
        <f>D6+D7</f>
        <v>269642</v>
      </c>
      <c r="E8" s="25">
        <f>E6+E7</f>
        <v>458638</v>
      </c>
      <c r="F8" s="25">
        <f>F6+F7</f>
        <v>517611.99999999988</v>
      </c>
      <c r="G8" s="25">
        <f>G6+G7</f>
        <v>620730</v>
      </c>
    </row>
    <row r="9" spans="1:7">
      <c r="A9" s="10" t="s">
        <v>58</v>
      </c>
      <c r="B9" s="10" t="s">
        <v>55</v>
      </c>
      <c r="C9" s="22">
        <v>-34093</v>
      </c>
      <c r="D9" s="22">
        <v>-38520</v>
      </c>
      <c r="E9" s="22">
        <v>-63260</v>
      </c>
      <c r="F9" s="22">
        <v>-70185</v>
      </c>
      <c r="G9" s="22">
        <v>-82764</v>
      </c>
    </row>
    <row r="10" spans="1:7">
      <c r="A10" s="15" t="s">
        <v>59</v>
      </c>
      <c r="B10" s="15" t="s">
        <v>55</v>
      </c>
      <c r="C10" s="25">
        <f>C8+C9</f>
        <v>200295</v>
      </c>
      <c r="D10" s="25">
        <f>D8+D9</f>
        <v>231122</v>
      </c>
      <c r="E10" s="25">
        <f>E8+E9</f>
        <v>395378</v>
      </c>
      <c r="F10" s="25">
        <f>F8+F9</f>
        <v>447426.99999999988</v>
      </c>
      <c r="G10" s="25">
        <f>G8+G9</f>
        <v>537966</v>
      </c>
    </row>
    <row r="11" spans="1:7">
      <c r="A11" s="10" t="s">
        <v>60</v>
      </c>
      <c r="B11" s="10" t="s">
        <v>55</v>
      </c>
      <c r="C11" s="22">
        <v>-42616</v>
      </c>
      <c r="D11" s="22">
        <v>-48150</v>
      </c>
      <c r="E11" s="22">
        <v>-79076</v>
      </c>
      <c r="F11" s="22">
        <v>-87731</v>
      </c>
      <c r="G11" s="22">
        <v>-103455</v>
      </c>
    </row>
    <row r="12" spans="1:7">
      <c r="A12" s="15" t="s">
        <v>61</v>
      </c>
      <c r="B12" s="15" t="s">
        <v>55</v>
      </c>
      <c r="C12" s="25">
        <f>C10+C11</f>
        <v>157679</v>
      </c>
      <c r="D12" s="25">
        <f>D10+D11</f>
        <v>182972</v>
      </c>
      <c r="E12" s="25">
        <f>E10+E11</f>
        <v>316302</v>
      </c>
      <c r="F12" s="25">
        <f>F10+F11</f>
        <v>359695.99999999988</v>
      </c>
      <c r="G12" s="25">
        <f>G10+G11</f>
        <v>434511</v>
      </c>
    </row>
    <row r="13" spans="1:7">
      <c r="A13" s="10" t="s">
        <v>62</v>
      </c>
      <c r="B13" s="10" t="s">
        <v>55</v>
      </c>
      <c r="C13" s="22">
        <v>-12000</v>
      </c>
      <c r="D13" s="22">
        <v>-12000</v>
      </c>
      <c r="E13" s="22">
        <v>-12000</v>
      </c>
      <c r="F13" s="22">
        <v>-12000</v>
      </c>
      <c r="G13" s="22">
        <v>-12000</v>
      </c>
    </row>
    <row r="14" spans="1:7">
      <c r="A14" s="15" t="s">
        <v>63</v>
      </c>
      <c r="B14" s="15" t="s">
        <v>55</v>
      </c>
      <c r="C14" s="25">
        <f>C12+C13</f>
        <v>145679</v>
      </c>
      <c r="D14" s="25">
        <f>D12+D13</f>
        <v>170972</v>
      </c>
      <c r="E14" s="25">
        <f>E12+E13</f>
        <v>304302</v>
      </c>
      <c r="F14" s="25">
        <f>F12+F13</f>
        <v>347695.99999999988</v>
      </c>
      <c r="G14" s="25">
        <f>G12+G13</f>
        <v>422511</v>
      </c>
    </row>
    <row r="15" spans="1:7">
      <c r="A15" s="10" t="s">
        <v>64</v>
      </c>
      <c r="B15" s="10" t="s">
        <v>55</v>
      </c>
      <c r="C15" s="23">
        <f>-C14*$C$3</f>
        <v>-32049.38</v>
      </c>
      <c r="D15" s="23">
        <f>-D14*$C$3</f>
        <v>-37613.840000000004</v>
      </c>
      <c r="E15" s="23">
        <f>-E14*$C$3</f>
        <v>-66946.44</v>
      </c>
      <c r="F15" s="23">
        <f>-F14*$C$3</f>
        <v>-76493.119999999981</v>
      </c>
      <c r="G15" s="23">
        <f>-G14*$C$3</f>
        <v>-92952.42</v>
      </c>
    </row>
    <row r="16" spans="1:7">
      <c r="A16" s="26" t="s">
        <v>65</v>
      </c>
      <c r="B16" s="26" t="s">
        <v>55</v>
      </c>
      <c r="C16" s="27">
        <f>C14+C15</f>
        <v>113629.62</v>
      </c>
      <c r="D16" s="27">
        <f>D14+D15</f>
        <v>133358.16</v>
      </c>
      <c r="E16" s="27">
        <f>E14+E15</f>
        <v>237355.56</v>
      </c>
      <c r="F16" s="27">
        <f>F14+F15</f>
        <v>271202.87999999989</v>
      </c>
      <c r="G16" s="27">
        <f>G14+G15</f>
        <v>329558.58</v>
      </c>
    </row>
    <row r="17" spans="1:7">
      <c r="A17" s="10" t="s">
        <v>66</v>
      </c>
      <c r="B17" s="10" t="s">
        <v>52</v>
      </c>
      <c r="C17" s="24">
        <f>IF(C6=0,0,C10/C6)</f>
        <v>0.46999953069269756</v>
      </c>
      <c r="D17" s="24">
        <f>IF(D6=0,0,D10/D6)</f>
        <v>0.48000016614607566</v>
      </c>
      <c r="E17" s="24">
        <f>IF(E6=0,0,E10/E6)</f>
        <v>0.5000006323070989</v>
      </c>
      <c r="F17" s="24">
        <f>IF(F6=0,0,F10/F6)</f>
        <v>0.50999990881195656</v>
      </c>
      <c r="G17" s="24">
        <f>IF(G6=0,0,G10/G6)</f>
        <v>0.52</v>
      </c>
    </row>
    <row r="18" spans="1:7">
      <c r="A18" s="1" t="s">
        <v>67</v>
      </c>
      <c r="B18" s="1" t="s">
        <v>52</v>
      </c>
      <c r="C18" s="20">
        <f>IF(C6=0,0,C16/C6)</f>
        <v>0.26663605218697201</v>
      </c>
      <c r="D18" s="20">
        <f>IF(D6=0,0,D16/D6)</f>
        <v>0.2769616867149598</v>
      </c>
      <c r="E18" s="20">
        <f>IF(E6=0,0,E16/E6)</f>
        <v>0.30016321110837113</v>
      </c>
      <c r="F18" s="20">
        <f>IF(F6=0,0,F16/F6)</f>
        <v>0.30913074997606305</v>
      </c>
      <c r="G18" s="20">
        <f>IF(G6=0,0,G16/G6)</f>
        <v>0.31855258808177472</v>
      </c>
    </row>
    <row r="19" spans="1:7">
      <c r="A19" s="1"/>
      <c r="B19" s="1"/>
      <c r="C19" s="1"/>
      <c r="D19" s="1"/>
      <c r="E19" s="1"/>
      <c r="F19" s="1"/>
      <c r="G19" s="1"/>
    </row>
    <row r="20" spans="1:7">
      <c r="A20" s="12" t="s">
        <v>68</v>
      </c>
      <c r="B20" s="12"/>
      <c r="C20" s="12"/>
      <c r="D20" s="12"/>
      <c r="E20" s="12"/>
      <c r="F20" s="12"/>
      <c r="G20" s="12"/>
    </row>
    <row r="21" spans="1:7">
      <c r="A21" s="1" t="s">
        <v>69</v>
      </c>
      <c r="B21" s="1" t="s">
        <v>55</v>
      </c>
      <c r="C21" s="21">
        <v>150000</v>
      </c>
      <c r="D21" s="21">
        <v>230000</v>
      </c>
      <c r="E21" s="21">
        <v>450000</v>
      </c>
      <c r="F21" s="21">
        <v>550000</v>
      </c>
      <c r="G21" s="21">
        <v>700000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0C58-A3F6-4EA8-8D05-E79E8A1EDD7A}">
  <dimension ref="A1:J2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40.7109375" customWidth="1"/>
    <col min="4" max="4" width="34.7109375" customWidth="1"/>
    <col min="5" max="5" width="15.7109375" customWidth="1"/>
    <col min="6" max="10" width="16.7109375" customWidth="1"/>
  </cols>
  <sheetData>
    <row r="1" spans="1:10" ht="18.75">
      <c r="A1" s="36" t="s">
        <v>70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6" t="s">
        <v>71</v>
      </c>
      <c r="B2" s="6" t="s">
        <v>72</v>
      </c>
      <c r="C2" s="6" t="s">
        <v>73</v>
      </c>
      <c r="D2" s="6" t="s">
        <v>35</v>
      </c>
      <c r="E2" s="6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</row>
    <row r="3" spans="1:10">
      <c r="A3" s="1" t="s">
        <v>74</v>
      </c>
      <c r="B3" s="1" t="s">
        <v>75</v>
      </c>
      <c r="C3" s="1" t="s">
        <v>75</v>
      </c>
      <c r="D3" s="1" t="s">
        <v>30</v>
      </c>
      <c r="E3" s="1" t="s">
        <v>31</v>
      </c>
      <c r="F3" s="29">
        <f>'Key Assumptions'!C3</f>
        <v>0.08</v>
      </c>
      <c r="G3" s="29">
        <f>'Key Assumptions'!D3</f>
        <v>8.2000000000000003E-2</v>
      </c>
      <c r="H3" s="29">
        <f>'Key Assumptions'!E3</f>
        <v>8.5000000000000006E-2</v>
      </c>
      <c r="I3" s="29">
        <f>'Key Assumptions'!F3</f>
        <v>8.6999999999999994E-2</v>
      </c>
      <c r="J3" s="29">
        <f>'Key Assumptions'!G3</f>
        <v>0.09</v>
      </c>
    </row>
    <row r="4" spans="1:10">
      <c r="A4" s="10" t="s">
        <v>74</v>
      </c>
      <c r="B4" s="10" t="s">
        <v>75</v>
      </c>
      <c r="C4" s="10" t="s">
        <v>75</v>
      </c>
      <c r="D4" s="10" t="s">
        <v>32</v>
      </c>
      <c r="E4" s="10" t="s">
        <v>33</v>
      </c>
      <c r="F4" s="30">
        <f>'Key Assumptions'!C4</f>
        <v>16500</v>
      </c>
      <c r="G4" s="30">
        <f>'Key Assumptions'!D4</f>
        <v>17000</v>
      </c>
      <c r="H4" s="30">
        <f>'Key Assumptions'!E4</f>
        <v>17500</v>
      </c>
      <c r="I4" s="30">
        <f>'Key Assumptions'!F4</f>
        <v>18000</v>
      </c>
      <c r="J4" s="30">
        <f>'Key Assumptions'!G4</f>
        <v>18500</v>
      </c>
    </row>
    <row r="5" spans="1:10">
      <c r="A5" s="1" t="s">
        <v>74</v>
      </c>
      <c r="B5" s="1" t="s">
        <v>76</v>
      </c>
      <c r="C5" s="1" t="s">
        <v>36</v>
      </c>
      <c r="D5" s="1" t="s">
        <v>37</v>
      </c>
      <c r="E5" s="1" t="s">
        <v>38</v>
      </c>
      <c r="F5" s="28">
        <f>Operasional!C4</f>
        <v>880</v>
      </c>
      <c r="G5" s="28">
        <f>Operasional!D4</f>
        <v>960</v>
      </c>
      <c r="H5" s="28">
        <f>Operasional!E4</f>
        <v>1300</v>
      </c>
      <c r="I5" s="28">
        <f>Operasional!F4</f>
        <v>1400</v>
      </c>
      <c r="J5" s="28">
        <f>Operasional!G4</f>
        <v>1600</v>
      </c>
    </row>
    <row r="6" spans="1:10">
      <c r="A6" s="10" t="s">
        <v>74</v>
      </c>
      <c r="B6" s="10" t="s">
        <v>76</v>
      </c>
      <c r="C6" s="10" t="s">
        <v>36</v>
      </c>
      <c r="D6" s="10" t="s">
        <v>39</v>
      </c>
      <c r="E6" s="10" t="s">
        <v>38</v>
      </c>
      <c r="F6" s="30">
        <f>Operasional!C5</f>
        <v>160</v>
      </c>
      <c r="G6" s="30">
        <f>Operasional!D5</f>
        <v>280</v>
      </c>
      <c r="H6" s="30">
        <f>Operasional!E5</f>
        <v>320</v>
      </c>
      <c r="I6" s="30">
        <f>Operasional!F5</f>
        <v>480</v>
      </c>
      <c r="J6" s="30">
        <f>Operasional!G5</f>
        <v>500</v>
      </c>
    </row>
    <row r="7" spans="1:10">
      <c r="A7" s="1" t="s">
        <v>74</v>
      </c>
      <c r="B7" s="1" t="s">
        <v>76</v>
      </c>
      <c r="C7" s="1" t="s">
        <v>36</v>
      </c>
      <c r="D7" s="1" t="s">
        <v>40</v>
      </c>
      <c r="E7" s="1" t="s">
        <v>38</v>
      </c>
      <c r="F7" s="28">
        <f>Operasional!C6</f>
        <v>50</v>
      </c>
      <c r="G7" s="28">
        <f>Operasional!D6</f>
        <v>50</v>
      </c>
      <c r="H7" s="28">
        <f>Operasional!E6</f>
        <v>50</v>
      </c>
      <c r="I7" s="28">
        <f>Operasional!F6</f>
        <v>50</v>
      </c>
      <c r="J7" s="28">
        <f>Operasional!G6</f>
        <v>50</v>
      </c>
    </row>
    <row r="8" spans="1:10">
      <c r="A8" s="15" t="s">
        <v>74</v>
      </c>
      <c r="B8" s="15" t="s">
        <v>76</v>
      </c>
      <c r="C8" s="15" t="s">
        <v>36</v>
      </c>
      <c r="D8" s="15" t="s">
        <v>41</v>
      </c>
      <c r="E8" s="15" t="s">
        <v>38</v>
      </c>
      <c r="F8" s="31">
        <f>Operasional!C7</f>
        <v>1090</v>
      </c>
      <c r="G8" s="31">
        <f>Operasional!D7</f>
        <v>1290</v>
      </c>
      <c r="H8" s="31">
        <f>Operasional!E7</f>
        <v>1670</v>
      </c>
      <c r="I8" s="31">
        <f>Operasional!F7</f>
        <v>1930</v>
      </c>
      <c r="J8" s="31">
        <f>Operasional!G7</f>
        <v>2150</v>
      </c>
    </row>
    <row r="9" spans="1:10">
      <c r="A9" s="1" t="s">
        <v>74</v>
      </c>
      <c r="B9" s="1" t="s">
        <v>76</v>
      </c>
      <c r="C9" s="1" t="s">
        <v>42</v>
      </c>
      <c r="D9" s="1" t="s">
        <v>37</v>
      </c>
      <c r="E9" s="1" t="s">
        <v>43</v>
      </c>
      <c r="F9" s="28">
        <f>Operasional!C10</f>
        <v>5280</v>
      </c>
      <c r="G9" s="28">
        <f>Operasional!D10</f>
        <v>5760</v>
      </c>
      <c r="H9" s="28">
        <f>Operasional!E10</f>
        <v>9100</v>
      </c>
      <c r="I9" s="28">
        <f>Operasional!F10</f>
        <v>9800</v>
      </c>
      <c r="J9" s="28">
        <f>Operasional!G10</f>
        <v>11200</v>
      </c>
    </row>
    <row r="10" spans="1:10">
      <c r="A10" s="10" t="s">
        <v>74</v>
      </c>
      <c r="B10" s="10" t="s">
        <v>76</v>
      </c>
      <c r="C10" s="10" t="s">
        <v>42</v>
      </c>
      <c r="D10" s="10" t="s">
        <v>39</v>
      </c>
      <c r="E10" s="10" t="s">
        <v>43</v>
      </c>
      <c r="F10" s="30">
        <f>Operasional!C11</f>
        <v>40</v>
      </c>
      <c r="G10" s="30">
        <f>Operasional!D11</f>
        <v>70</v>
      </c>
      <c r="H10" s="30">
        <f>Operasional!E11</f>
        <v>160</v>
      </c>
      <c r="I10" s="30">
        <f>Operasional!F11</f>
        <v>240</v>
      </c>
      <c r="J10" s="30">
        <f>Operasional!G11</f>
        <v>250</v>
      </c>
    </row>
    <row r="11" spans="1:10">
      <c r="A11" s="1" t="s">
        <v>74</v>
      </c>
      <c r="B11" s="1" t="s">
        <v>76</v>
      </c>
      <c r="C11" s="1" t="s">
        <v>42</v>
      </c>
      <c r="D11" s="1" t="s">
        <v>44</v>
      </c>
      <c r="E11" s="1" t="s">
        <v>43</v>
      </c>
      <c r="F11" s="28">
        <f>Operasional!C12</f>
        <v>7</v>
      </c>
      <c r="G11" s="28">
        <f>Operasional!D12</f>
        <v>42</v>
      </c>
      <c r="H11" s="28">
        <f>Operasional!E12</f>
        <v>43</v>
      </c>
      <c r="I11" s="28">
        <f>Operasional!F12</f>
        <v>44</v>
      </c>
      <c r="J11" s="28">
        <f>Operasional!G12</f>
        <v>45</v>
      </c>
    </row>
    <row r="12" spans="1:10">
      <c r="A12" s="15" t="s">
        <v>74</v>
      </c>
      <c r="B12" s="15" t="s">
        <v>76</v>
      </c>
      <c r="C12" s="15" t="s">
        <v>42</v>
      </c>
      <c r="D12" s="15" t="s">
        <v>45</v>
      </c>
      <c r="E12" s="15" t="s">
        <v>43</v>
      </c>
      <c r="F12" s="31">
        <f>Operasional!C13</f>
        <v>5327</v>
      </c>
      <c r="G12" s="31">
        <f>Operasional!D13</f>
        <v>5872</v>
      </c>
      <c r="H12" s="31">
        <f>Operasional!E13</f>
        <v>9303</v>
      </c>
      <c r="I12" s="31">
        <f>Operasional!F13</f>
        <v>10084</v>
      </c>
      <c r="J12" s="31">
        <f>Operasional!G13</f>
        <v>11495</v>
      </c>
    </row>
    <row r="13" spans="1:10">
      <c r="A13" s="15" t="s">
        <v>74</v>
      </c>
      <c r="B13" s="15" t="s">
        <v>76</v>
      </c>
      <c r="C13" s="15" t="s">
        <v>42</v>
      </c>
      <c r="D13" s="15" t="s">
        <v>46</v>
      </c>
      <c r="E13" s="15" t="s">
        <v>47</v>
      </c>
      <c r="F13" s="31">
        <f>Operasional!C14</f>
        <v>5327000000</v>
      </c>
      <c r="G13" s="31">
        <f>Operasional!D14</f>
        <v>5872000000</v>
      </c>
      <c r="H13" s="31">
        <f>Operasional!E14</f>
        <v>9303000000</v>
      </c>
      <c r="I13" s="31">
        <f>Operasional!F14</f>
        <v>10084000000</v>
      </c>
      <c r="J13" s="31">
        <f>Operasional!G14</f>
        <v>11495000000</v>
      </c>
    </row>
    <row r="14" spans="1:10">
      <c r="A14" s="10" t="s">
        <v>74</v>
      </c>
      <c r="B14" s="10" t="s">
        <v>77</v>
      </c>
      <c r="C14" s="10" t="s">
        <v>78</v>
      </c>
      <c r="D14" s="10" t="s">
        <v>51</v>
      </c>
      <c r="E14" s="10" t="s">
        <v>52</v>
      </c>
      <c r="F14" s="33">
        <f>Finansial!$C$3</f>
        <v>0.22</v>
      </c>
      <c r="G14" s="33">
        <f>Finansial!$C$3</f>
        <v>0.22</v>
      </c>
      <c r="H14" s="33">
        <f>Finansial!$C$3</f>
        <v>0.22</v>
      </c>
      <c r="I14" s="33">
        <f>Finansial!$C$3</f>
        <v>0.22</v>
      </c>
      <c r="J14" s="33">
        <f>Finansial!$C$3</f>
        <v>0.22</v>
      </c>
    </row>
    <row r="15" spans="1:10">
      <c r="A15" s="15" t="s">
        <v>74</v>
      </c>
      <c r="B15" s="15" t="s">
        <v>77</v>
      </c>
      <c r="C15" s="15" t="s">
        <v>79</v>
      </c>
      <c r="D15" s="15" t="s">
        <v>54</v>
      </c>
      <c r="E15" s="15" t="s">
        <v>55</v>
      </c>
      <c r="F15" s="34">
        <f>Finansial!C6</f>
        <v>426160</v>
      </c>
      <c r="G15" s="34">
        <f>Finansial!D6</f>
        <v>481504</v>
      </c>
      <c r="H15" s="34">
        <f>Finansial!E6</f>
        <v>790755</v>
      </c>
      <c r="I15" s="34">
        <f>Finansial!F6</f>
        <v>877307.99999999988</v>
      </c>
      <c r="J15" s="34">
        <f>Finansial!G6</f>
        <v>1034550</v>
      </c>
    </row>
    <row r="16" spans="1:10">
      <c r="A16" s="10" t="s">
        <v>74</v>
      </c>
      <c r="B16" s="10" t="s">
        <v>77</v>
      </c>
      <c r="C16" s="10" t="s">
        <v>79</v>
      </c>
      <c r="D16" s="10" t="s">
        <v>56</v>
      </c>
      <c r="E16" s="10" t="s">
        <v>55</v>
      </c>
      <c r="F16" s="35">
        <f>Finansial!C7</f>
        <v>-191772</v>
      </c>
      <c r="G16" s="35">
        <f>Finansial!D7</f>
        <v>-211862</v>
      </c>
      <c r="H16" s="35">
        <f>Finansial!E7</f>
        <v>-332117</v>
      </c>
      <c r="I16" s="35">
        <f>Finansial!F7</f>
        <v>-359696</v>
      </c>
      <c r="J16" s="35">
        <f>Finansial!G7</f>
        <v>-413820</v>
      </c>
    </row>
    <row r="17" spans="1:10">
      <c r="A17" s="15" t="s">
        <v>74</v>
      </c>
      <c r="B17" s="15" t="s">
        <v>77</v>
      </c>
      <c r="C17" s="15" t="s">
        <v>79</v>
      </c>
      <c r="D17" s="15" t="s">
        <v>57</v>
      </c>
      <c r="E17" s="15" t="s">
        <v>55</v>
      </c>
      <c r="F17" s="34">
        <f>Finansial!C8</f>
        <v>234388</v>
      </c>
      <c r="G17" s="34">
        <f>Finansial!D8</f>
        <v>269642</v>
      </c>
      <c r="H17" s="34">
        <f>Finansial!E8</f>
        <v>458638</v>
      </c>
      <c r="I17" s="34">
        <f>Finansial!F8</f>
        <v>517611.99999999988</v>
      </c>
      <c r="J17" s="34">
        <f>Finansial!G8</f>
        <v>620730</v>
      </c>
    </row>
    <row r="18" spans="1:10">
      <c r="A18" s="10" t="s">
        <v>74</v>
      </c>
      <c r="B18" s="10" t="s">
        <v>77</v>
      </c>
      <c r="C18" s="10" t="s">
        <v>79</v>
      </c>
      <c r="D18" s="10" t="s">
        <v>58</v>
      </c>
      <c r="E18" s="10" t="s">
        <v>55</v>
      </c>
      <c r="F18" s="35">
        <f>Finansial!C9</f>
        <v>-34093</v>
      </c>
      <c r="G18" s="35">
        <f>Finansial!D9</f>
        <v>-38520</v>
      </c>
      <c r="H18" s="35">
        <f>Finansial!E9</f>
        <v>-63260</v>
      </c>
      <c r="I18" s="35">
        <f>Finansial!F9</f>
        <v>-70185</v>
      </c>
      <c r="J18" s="35">
        <f>Finansial!G9</f>
        <v>-82764</v>
      </c>
    </row>
    <row r="19" spans="1:10">
      <c r="A19" s="15" t="s">
        <v>74</v>
      </c>
      <c r="B19" s="15" t="s">
        <v>77</v>
      </c>
      <c r="C19" s="15" t="s">
        <v>79</v>
      </c>
      <c r="D19" s="15" t="s">
        <v>59</v>
      </c>
      <c r="E19" s="15" t="s">
        <v>55</v>
      </c>
      <c r="F19" s="34">
        <f>Finansial!C10</f>
        <v>200295</v>
      </c>
      <c r="G19" s="34">
        <f>Finansial!D10</f>
        <v>231122</v>
      </c>
      <c r="H19" s="34">
        <f>Finansial!E10</f>
        <v>395378</v>
      </c>
      <c r="I19" s="34">
        <f>Finansial!F10</f>
        <v>447426.99999999988</v>
      </c>
      <c r="J19" s="34">
        <f>Finansial!G10</f>
        <v>537966</v>
      </c>
    </row>
    <row r="20" spans="1:10">
      <c r="A20" s="10" t="s">
        <v>74</v>
      </c>
      <c r="B20" s="10" t="s">
        <v>77</v>
      </c>
      <c r="C20" s="10" t="s">
        <v>79</v>
      </c>
      <c r="D20" s="10" t="s">
        <v>60</v>
      </c>
      <c r="E20" s="10" t="s">
        <v>55</v>
      </c>
      <c r="F20" s="35">
        <f>Finansial!C11</f>
        <v>-42616</v>
      </c>
      <c r="G20" s="35">
        <f>Finansial!D11</f>
        <v>-48150</v>
      </c>
      <c r="H20" s="35">
        <f>Finansial!E11</f>
        <v>-79076</v>
      </c>
      <c r="I20" s="35">
        <f>Finansial!F11</f>
        <v>-87731</v>
      </c>
      <c r="J20" s="35">
        <f>Finansial!G11</f>
        <v>-103455</v>
      </c>
    </row>
    <row r="21" spans="1:10">
      <c r="A21" s="15" t="s">
        <v>74</v>
      </c>
      <c r="B21" s="15" t="s">
        <v>77</v>
      </c>
      <c r="C21" s="15" t="s">
        <v>79</v>
      </c>
      <c r="D21" s="15" t="s">
        <v>61</v>
      </c>
      <c r="E21" s="15" t="s">
        <v>55</v>
      </c>
      <c r="F21" s="34">
        <f>Finansial!C12</f>
        <v>157679</v>
      </c>
      <c r="G21" s="34">
        <f>Finansial!D12</f>
        <v>182972</v>
      </c>
      <c r="H21" s="34">
        <f>Finansial!E12</f>
        <v>316302</v>
      </c>
      <c r="I21" s="34">
        <f>Finansial!F12</f>
        <v>359695.99999999988</v>
      </c>
      <c r="J21" s="34">
        <f>Finansial!G12</f>
        <v>434511</v>
      </c>
    </row>
    <row r="22" spans="1:10">
      <c r="A22" s="10" t="s">
        <v>74</v>
      </c>
      <c r="B22" s="10" t="s">
        <v>77</v>
      </c>
      <c r="C22" s="10" t="s">
        <v>79</v>
      </c>
      <c r="D22" s="10" t="s">
        <v>62</v>
      </c>
      <c r="E22" s="10" t="s">
        <v>55</v>
      </c>
      <c r="F22" s="35">
        <f>Finansial!C13</f>
        <v>-12000</v>
      </c>
      <c r="G22" s="35">
        <f>Finansial!D13</f>
        <v>-12000</v>
      </c>
      <c r="H22" s="35">
        <f>Finansial!E13</f>
        <v>-12000</v>
      </c>
      <c r="I22" s="35">
        <f>Finansial!F13</f>
        <v>-12000</v>
      </c>
      <c r="J22" s="35">
        <f>Finansial!G13</f>
        <v>-12000</v>
      </c>
    </row>
    <row r="23" spans="1:10">
      <c r="A23" s="15" t="s">
        <v>74</v>
      </c>
      <c r="B23" s="15" t="s">
        <v>77</v>
      </c>
      <c r="C23" s="15" t="s">
        <v>79</v>
      </c>
      <c r="D23" s="15" t="s">
        <v>63</v>
      </c>
      <c r="E23" s="15" t="s">
        <v>55</v>
      </c>
      <c r="F23" s="34">
        <f>Finansial!C14</f>
        <v>145679</v>
      </c>
      <c r="G23" s="34">
        <f>Finansial!D14</f>
        <v>170972</v>
      </c>
      <c r="H23" s="34">
        <f>Finansial!E14</f>
        <v>304302</v>
      </c>
      <c r="I23" s="34">
        <f>Finansial!F14</f>
        <v>347695.99999999988</v>
      </c>
      <c r="J23" s="34">
        <f>Finansial!G14</f>
        <v>422511</v>
      </c>
    </row>
    <row r="24" spans="1:10">
      <c r="A24" s="10" t="s">
        <v>74</v>
      </c>
      <c r="B24" s="10" t="s">
        <v>77</v>
      </c>
      <c r="C24" s="10" t="s">
        <v>79</v>
      </c>
      <c r="D24" s="10" t="s">
        <v>64</v>
      </c>
      <c r="E24" s="10" t="s">
        <v>55</v>
      </c>
      <c r="F24" s="35">
        <f>Finansial!C15</f>
        <v>-32049.38</v>
      </c>
      <c r="G24" s="35">
        <f>Finansial!D15</f>
        <v>-37613.840000000004</v>
      </c>
      <c r="H24" s="35">
        <f>Finansial!E15</f>
        <v>-66946.44</v>
      </c>
      <c r="I24" s="35">
        <f>Finansial!F15</f>
        <v>-76493.119999999981</v>
      </c>
      <c r="J24" s="35">
        <f>Finansial!G15</f>
        <v>-92952.42</v>
      </c>
    </row>
    <row r="25" spans="1:10">
      <c r="A25" s="15" t="s">
        <v>74</v>
      </c>
      <c r="B25" s="15" t="s">
        <v>77</v>
      </c>
      <c r="C25" s="15" t="s">
        <v>79</v>
      </c>
      <c r="D25" s="15" t="s">
        <v>65</v>
      </c>
      <c r="E25" s="15" t="s">
        <v>55</v>
      </c>
      <c r="F25" s="34">
        <f>Finansial!C16</f>
        <v>113629.62</v>
      </c>
      <c r="G25" s="34">
        <f>Finansial!D16</f>
        <v>133358.16</v>
      </c>
      <c r="H25" s="34">
        <f>Finansial!E16</f>
        <v>237355.56</v>
      </c>
      <c r="I25" s="34">
        <f>Finansial!F16</f>
        <v>271202.87999999989</v>
      </c>
      <c r="J25" s="34">
        <f>Finansial!G16</f>
        <v>329558.58</v>
      </c>
    </row>
    <row r="26" spans="1:10">
      <c r="A26" s="10" t="s">
        <v>74</v>
      </c>
      <c r="B26" s="10" t="s">
        <v>77</v>
      </c>
      <c r="C26" s="10" t="s">
        <v>79</v>
      </c>
      <c r="D26" s="10" t="s">
        <v>66</v>
      </c>
      <c r="E26" s="10" t="s">
        <v>52</v>
      </c>
      <c r="F26" s="33">
        <f>Finansial!C17</f>
        <v>0.46999953069269756</v>
      </c>
      <c r="G26" s="33">
        <f>Finansial!D17</f>
        <v>0.48000016614607566</v>
      </c>
      <c r="H26" s="33">
        <f>Finansial!E17</f>
        <v>0.5000006323070989</v>
      </c>
      <c r="I26" s="33">
        <f>Finansial!F17</f>
        <v>0.50999990881195656</v>
      </c>
      <c r="J26" s="33">
        <f>Finansial!G17</f>
        <v>0.52</v>
      </c>
    </row>
    <row r="27" spans="1:10">
      <c r="A27" s="1" t="s">
        <v>74</v>
      </c>
      <c r="B27" s="1" t="s">
        <v>77</v>
      </c>
      <c r="C27" s="1" t="s">
        <v>79</v>
      </c>
      <c r="D27" s="1" t="s">
        <v>67</v>
      </c>
      <c r="E27" s="1" t="s">
        <v>52</v>
      </c>
      <c r="F27" s="32">
        <f>Finansial!C18</f>
        <v>0.26663605218697201</v>
      </c>
      <c r="G27" s="32">
        <f>Finansial!D18</f>
        <v>0.2769616867149598</v>
      </c>
      <c r="H27" s="32">
        <f>Finansial!E18</f>
        <v>0.30016321110837113</v>
      </c>
      <c r="I27" s="32">
        <f>Finansial!F18</f>
        <v>0.30913074997606305</v>
      </c>
      <c r="J27" s="32">
        <f>Finansial!G18</f>
        <v>0.31855258808177472</v>
      </c>
    </row>
    <row r="28" spans="1:10">
      <c r="A28" s="10" t="s">
        <v>74</v>
      </c>
      <c r="B28" s="10" t="s">
        <v>77</v>
      </c>
      <c r="C28" s="10" t="s">
        <v>68</v>
      </c>
      <c r="D28" s="10" t="s">
        <v>69</v>
      </c>
      <c r="E28" s="10" t="s">
        <v>55</v>
      </c>
      <c r="F28" s="35">
        <f>Finansial!C21</f>
        <v>150000</v>
      </c>
      <c r="G28" s="35">
        <f>Finansial!D21</f>
        <v>230000</v>
      </c>
      <c r="H28" s="35">
        <f>Finansial!E21</f>
        <v>450000</v>
      </c>
      <c r="I28" s="35">
        <f>Finansial!F21</f>
        <v>550000</v>
      </c>
      <c r="J28" s="35">
        <f>Finansial!G21</f>
        <v>700000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i:0#.f|membership|achindranata@microsoft.com</cp:lastModifiedBy>
  <cp:revision/>
  <dcterms:created xsi:type="dcterms:W3CDTF">2026-10-27T06:52:29Z</dcterms:created>
  <dcterms:modified xsi:type="dcterms:W3CDTF">2026-10-27T06:54:34Z</dcterms:modified>
  <cp:category/>
  <cp:contentStatus/>
</cp:coreProperties>
</file>