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xr:revisionPtr revIDLastSave="798" documentId="11_C0AD03C342DF8C75CF381EDAE032060B66CFF049" xr6:coauthVersionLast="47" xr6:coauthVersionMax="47" xr10:uidLastSave="{E03EC523-03BD-4BE2-8920-532F3496F96E}"/>
  <bookViews>
    <workbookView xWindow="0" yWindow="0" windowWidth="0" windowHeight="0" xr2:uid="{00000000-000D-0000-FFFF-FFFF00000000}"/>
  </bookViews>
  <sheets>
    <sheet name="README" sheetId="1" r:id="rId1"/>
    <sheet name="Key Assumptions" sheetId="2" r:id="rId2"/>
    <sheet name="Operasional" sheetId="3" r:id="rId3"/>
    <sheet name="Finansial" sheetId="4" r:id="rId4"/>
    <sheet name="Data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5" l="1"/>
  <c r="I29" i="5"/>
  <c r="H29" i="5"/>
  <c r="G29" i="5"/>
  <c r="F29" i="5"/>
  <c r="J28" i="5"/>
  <c r="I28" i="5"/>
  <c r="H28" i="5"/>
  <c r="G28" i="5"/>
  <c r="F28" i="5"/>
  <c r="J27" i="5"/>
  <c r="I27" i="5"/>
  <c r="H27" i="5"/>
  <c r="G27" i="5"/>
  <c r="F27" i="5"/>
  <c r="J26" i="5"/>
  <c r="I26" i="5"/>
  <c r="H26" i="5"/>
  <c r="G26" i="5"/>
  <c r="F26" i="5"/>
  <c r="J25" i="5"/>
  <c r="I25" i="5"/>
  <c r="H25" i="5"/>
  <c r="G25" i="5"/>
  <c r="F25" i="5"/>
  <c r="J24" i="5"/>
  <c r="I24" i="5"/>
  <c r="H24" i="5"/>
  <c r="G24" i="5"/>
  <c r="F24" i="5"/>
  <c r="J23" i="5"/>
  <c r="I23" i="5"/>
  <c r="H23" i="5"/>
  <c r="G23" i="5"/>
  <c r="F23" i="5"/>
  <c r="J22" i="5"/>
  <c r="I22" i="5"/>
  <c r="H22" i="5"/>
  <c r="G22" i="5"/>
  <c r="F22" i="5"/>
  <c r="J21" i="5"/>
  <c r="I21" i="5"/>
  <c r="H21" i="5"/>
  <c r="G21" i="5"/>
  <c r="F21" i="5"/>
  <c r="J20" i="5"/>
  <c r="I20" i="5"/>
  <c r="H20" i="5"/>
  <c r="G20" i="5"/>
  <c r="F20" i="5"/>
  <c r="J19" i="5"/>
  <c r="I19" i="5"/>
  <c r="H19" i="5"/>
  <c r="G19" i="5"/>
  <c r="F19" i="5"/>
  <c r="J18" i="5"/>
  <c r="I18" i="5"/>
  <c r="H18" i="5"/>
  <c r="G18" i="5"/>
  <c r="F18" i="5"/>
  <c r="J17" i="5"/>
  <c r="I17" i="5"/>
  <c r="H17" i="5"/>
  <c r="G17" i="5"/>
  <c r="F17" i="5"/>
  <c r="J16" i="5"/>
  <c r="I16" i="5"/>
  <c r="H16" i="5"/>
  <c r="G16" i="5"/>
  <c r="F16" i="5"/>
  <c r="J15" i="5"/>
  <c r="I15" i="5"/>
  <c r="H15" i="5"/>
  <c r="G15" i="5"/>
  <c r="F15" i="5"/>
  <c r="J14" i="5"/>
  <c r="I14" i="5"/>
  <c r="H14" i="5"/>
  <c r="G14" i="5"/>
  <c r="F14" i="5"/>
  <c r="J13" i="5"/>
  <c r="I13" i="5"/>
  <c r="H13" i="5"/>
  <c r="G13" i="5"/>
  <c r="F13" i="5"/>
  <c r="J12" i="5"/>
  <c r="I12" i="5"/>
  <c r="H12" i="5"/>
  <c r="G12" i="5"/>
  <c r="F12" i="5"/>
  <c r="J11" i="5"/>
  <c r="I11" i="5"/>
  <c r="H11" i="5"/>
  <c r="G11" i="5"/>
  <c r="F11" i="5"/>
  <c r="J10" i="5"/>
  <c r="I10" i="5"/>
  <c r="H10" i="5"/>
  <c r="G10" i="5"/>
  <c r="F10" i="5"/>
  <c r="J9" i="5"/>
  <c r="I9" i="5"/>
  <c r="H9" i="5"/>
  <c r="G9" i="5"/>
  <c r="F9" i="5"/>
  <c r="J8" i="5"/>
  <c r="I8" i="5"/>
  <c r="H8" i="5"/>
  <c r="G8" i="5"/>
  <c r="F8" i="5"/>
  <c r="J7" i="5"/>
  <c r="I7" i="5"/>
  <c r="H7" i="5"/>
  <c r="G7" i="5"/>
  <c r="F7" i="5"/>
  <c r="J6" i="5"/>
  <c r="I6" i="5"/>
  <c r="H6" i="5"/>
  <c r="G6" i="5"/>
  <c r="F6" i="5"/>
  <c r="J5" i="5"/>
  <c r="I5" i="5"/>
  <c r="H5" i="5"/>
  <c r="G5" i="5"/>
  <c r="F5" i="5"/>
  <c r="J4" i="5"/>
  <c r="I4" i="5"/>
  <c r="H4" i="5"/>
  <c r="G4" i="5"/>
  <c r="F4" i="5"/>
  <c r="J3" i="5"/>
  <c r="I3" i="5"/>
  <c r="H3" i="5"/>
  <c r="G3" i="5"/>
  <c r="F3" i="5"/>
  <c r="G19" i="4"/>
  <c r="F19" i="4"/>
  <c r="E19" i="4"/>
  <c r="D19" i="4"/>
  <c r="C19" i="4"/>
  <c r="G18" i="4"/>
  <c r="F18" i="4"/>
  <c r="E18" i="4"/>
  <c r="D18" i="4"/>
  <c r="C18" i="4"/>
  <c r="G17" i="4"/>
  <c r="F17" i="4"/>
  <c r="E17" i="4"/>
  <c r="D17" i="4"/>
  <c r="C17" i="4"/>
  <c r="G16" i="4"/>
  <c r="F16" i="4"/>
  <c r="E16" i="4"/>
  <c r="D16" i="4"/>
  <c r="C16" i="4"/>
  <c r="G15" i="4"/>
  <c r="F15" i="4"/>
  <c r="E15" i="4"/>
  <c r="D15" i="4"/>
  <c r="C15" i="4"/>
  <c r="G13" i="4"/>
  <c r="F13" i="4"/>
  <c r="E13" i="4"/>
  <c r="D13" i="4"/>
  <c r="C13" i="4"/>
  <c r="G11" i="4"/>
  <c r="F11" i="4"/>
  <c r="E11" i="4"/>
  <c r="D11" i="4"/>
  <c r="C11" i="4"/>
  <c r="G9" i="4"/>
  <c r="F9" i="4"/>
  <c r="E9" i="4"/>
  <c r="D9" i="4"/>
  <c r="C9" i="4"/>
  <c r="G7" i="4"/>
  <c r="F7" i="4"/>
  <c r="E7" i="4"/>
  <c r="D7" i="4"/>
  <c r="C7" i="4"/>
  <c r="G13" i="3"/>
  <c r="F13" i="3"/>
  <c r="E13" i="3"/>
  <c r="D13" i="3"/>
  <c r="C13" i="3"/>
  <c r="G7" i="3"/>
  <c r="F7" i="3"/>
  <c r="E7" i="3"/>
  <c r="D7" i="3"/>
  <c r="C7" i="3"/>
</calcChain>
</file>

<file path=xl/sharedStrings.xml><?xml version="1.0" encoding="utf-8"?>
<sst xmlns="http://schemas.openxmlformats.org/spreadsheetml/2006/main" count="275" uniqueCount="101">
  <si>
    <t>PT ABC Energy – Hulu RJPP 2026–2030 (Middle Scenario) – README</t>
  </si>
  <si>
    <t>Item</t>
  </si>
  <si>
    <t>Details</t>
  </si>
  <si>
    <t>Purpose</t>
  </si>
  <si>
    <t>Knowledge source for the Microsoft 365 Copilot agent "3C - RJPP Analyst" (SPPU SPARK Copilot training). All figures are dummy data for training only.</t>
  </si>
  <si>
    <t>Company</t>
  </si>
  <si>
    <t>PT ABC Energy</t>
  </si>
  <si>
    <t>Plan</t>
  </si>
  <si>
    <t>RJPP (Rencana Jangka Panjang Perusahaan – company long-term plan) 2026–2030</t>
  </si>
  <si>
    <t>Business line</t>
  </si>
  <si>
    <t>Hulu (Upstream Oil &amp; Gas)</t>
  </si>
  <si>
    <t>Scenario</t>
  </si>
  <si>
    <t>Middle</t>
  </si>
  <si>
    <t>Currency &amp; units</t>
  </si>
  <si>
    <t>Financial figures are in USD thousands. Operational units are stated on each row: oil production in MBOPD (thousand barrels of oil per day), gas production in MMSCFD (million standard cubic feet per day). Prices are stated per unit (USD/bbl, USD/MMBtu, USD/MMScf); the exchange rate is in IDR per USD.</t>
  </si>
  <si>
    <t>Revenue method</t>
  </si>
  <si>
    <t>Revenues (USD thousands) = (Total Produksi Minyak [MBOPD] × 1000 × 365 × Oil Price [USD/bbl] + Total Produksi Gas [MMSCFD] × 365 × Natural Gas Price [USD/MMScf]) / 1000.</t>
  </si>
  <si>
    <t>Color legend</t>
  </si>
  <si>
    <t>Blue font = input value; black font = formula; green font = live link to another sheet. Bold rows on a light-green fill are totals and key lines.</t>
  </si>
  <si>
    <t>Source</t>
  </si>
  <si>
    <t>Refined from 4_BL_Hulu_RJPP_2026_2030_MiddleScenario_ABCEnergy_v1.xlsx</t>
  </si>
  <si>
    <t>Sheet map</t>
  </si>
  <si>
    <t>Sheet: README</t>
  </si>
  <si>
    <t>This sheet – purpose, scope, units, sheet map and change log.</t>
  </si>
  <si>
    <t>Sheet: Key Assumptions</t>
  </si>
  <si>
    <t>Price and macro inputs by year (2026–2030): Oil Price (USD/bbl), Natural Gas Price (USD/MMBtu and USD/MMScf), Exchange rate USD/IDR (IDR per USD).</t>
  </si>
  <si>
    <t>Sheet: Operasional</t>
  </si>
  <si>
    <t>Oil production (MBOPD) and gas production (MMSCFD) by source – Produksi Domestik, Produksi Internasional, Produksi dari M&amp;A – with group totals, 2026–2030.</t>
  </si>
  <si>
    <t>Sheet: Finansial</t>
  </si>
  <si>
    <t>Corporate tax rate input; income statement 2026–2030 in USD thousands (Revenues → Net Income, EBITDA margin, Net margin); Capital Expenditure (CAPEX) block.</t>
  </si>
  <si>
    <t>Sheet: Data</t>
  </si>
  <si>
    <t>Flat Excel Table "Data_Hulu": one row per metric of Key Assumptions, Operasional and Finansial (Business Line | Sheet | Section | Metric | Unit | 2026–2030), linked live to the source cells – for scripts and search.</t>
  </si>
  <si>
    <t>Changes from the source file</t>
  </si>
  <si>
    <t>Change 1</t>
  </si>
  <si>
    <t>Fixed the unit typo "USD/MMSBtu" → "USD/MMBtu".</t>
  </si>
  <si>
    <t>Change 2</t>
  </si>
  <si>
    <t>Removed the "Alternative Forecasting Methods" helper rows above the income statement and re-aligned the year columns.</t>
  </si>
  <si>
    <t>Change 3</t>
  </si>
  <si>
    <t>Totals, subtotals and revenue are now live formulas.</t>
  </si>
  <si>
    <t>Change 4</t>
  </si>
  <si>
    <t>The balance sheet and cash-flow sections of the source were removed because they contained broken references (#REF!) and template placeholder values.</t>
  </si>
  <si>
    <t>Data notes / to confirm</t>
  </si>
  <si>
    <t>Data notes</t>
  </si>
  <si>
    <t>None.</t>
  </si>
  <si>
    <t>PT ABC Energy – Hulu RJPP 2026–2030 (Middle Scenario) – Key Assumptions</t>
  </si>
  <si>
    <t>Parameter</t>
  </si>
  <si>
    <t>Unit</t>
  </si>
  <si>
    <t>2026</t>
  </si>
  <si>
    <t>2027</t>
  </si>
  <si>
    <t>2028</t>
  </si>
  <si>
    <t>2029</t>
  </si>
  <si>
    <t>2030</t>
  </si>
  <si>
    <t>Oil Price</t>
  </si>
  <si>
    <t>USD/bbl</t>
  </si>
  <si>
    <t>Natural Gas Price</t>
  </si>
  <si>
    <t>USD/MMBtu</t>
  </si>
  <si>
    <t>USD/MMScf</t>
  </si>
  <si>
    <t>Exchange rate USD/IDR</t>
  </si>
  <si>
    <t>IDR per USD</t>
  </si>
  <si>
    <t>PT ABC Energy – Hulu RJPP 2026–2030 (Middle Scenario) – Operasional (Production)</t>
  </si>
  <si>
    <t>Metric</t>
  </si>
  <si>
    <t>Oil production (Produksi Minyak)</t>
  </si>
  <si>
    <t>Produksi Domestik</t>
  </si>
  <si>
    <t>MBOPD</t>
  </si>
  <si>
    <t>Produksi Internasional</t>
  </si>
  <si>
    <t>Produksi dari M&amp;A</t>
  </si>
  <si>
    <t>Total Produksi Minyak</t>
  </si>
  <si>
    <t>Gas production (Produksi Gas)</t>
  </si>
  <si>
    <t>MMSCFD</t>
  </si>
  <si>
    <t>Total Produksi Gas</t>
  </si>
  <si>
    <t>PT ABC Energy – Hulu RJPP 2026–2030 (Middle Scenario) – Finansial (Income Statement, USD thousands)</t>
  </si>
  <si>
    <t>Value</t>
  </si>
  <si>
    <t>Corporate tax rate</t>
  </si>
  <si>
    <t>%</t>
  </si>
  <si>
    <t>Line item</t>
  </si>
  <si>
    <t>Income Statement</t>
  </si>
  <si>
    <t>Revenues</t>
  </si>
  <si>
    <t>USD thousands</t>
  </si>
  <si>
    <t>Cost of Goods Sold</t>
  </si>
  <si>
    <t>Gross Profit</t>
  </si>
  <si>
    <t>SG&amp;A</t>
  </si>
  <si>
    <t>EBITDA</t>
  </si>
  <si>
    <t>DD&amp;A</t>
  </si>
  <si>
    <t>EBIT (Operating Profit)</t>
  </si>
  <si>
    <t>Interest Expense</t>
  </si>
  <si>
    <t>Earnings Before Taxes</t>
  </si>
  <si>
    <t>Taxes</t>
  </si>
  <si>
    <t>Net Income</t>
  </si>
  <si>
    <t>EBITDA margin</t>
  </si>
  <si>
    <t>Net margin</t>
  </si>
  <si>
    <t>Capital Expenditure</t>
  </si>
  <si>
    <t>CAPEX</t>
  </si>
  <si>
    <t>PT ABC Energy – Hulu RJPP 2026–2030 (Middle Scenario) – Data (flat table Data_Hulu)</t>
  </si>
  <si>
    <t>Business Line</t>
  </si>
  <si>
    <t>Sheet</t>
  </si>
  <si>
    <t>Section</t>
  </si>
  <si>
    <t>Hulu</t>
  </si>
  <si>
    <t>Key Assumptions</t>
  </si>
  <si>
    <t>Operasional</t>
  </si>
  <si>
    <t>Finansial</t>
  </si>
  <si>
    <t>Assumptions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</si>
</sst>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;\(#,##0\);\-"/>
  </numFmts>
  <fonts count="8">
    <font>
      <sz val="11"/>
      <color theme="1"/>
      <name val="Calibri"/>
      <family val="2"/>
      <scheme val="minor"/>
    </font>
    <font>
      <sz val="11"/>
      <color theme="1"/>
      <name val="Aptos"/>
    </font>
    <font>
      <b/>
      <sz val="11"/>
      <color theme="1"/>
      <name val="Aptos"/>
    </font>
    <font>
      <b/>
      <sz val="11"/>
      <color rgb="FF003E7E"/>
      <name val="Aptos"/>
    </font>
    <font>
      <b/>
      <sz val="14"/>
      <color rgb="FF003E7E"/>
      <name val="Aptos"/>
    </font>
    <font>
      <b/>
      <sz val="11"/>
      <color rgb="FFFFFFFF"/>
      <name val="Aptos"/>
    </font>
    <font>
      <sz val="11"/>
      <color rgb="FF0000FF"/>
      <name val="Aptos"/>
    </font>
    <font>
      <sz val="11"/>
      <color rgb="FF008000"/>
      <name val="Aptos"/>
    </font>
  </fonts>
  <fills count="6">
    <fill>
      <patternFill patternType="none"/>
    </fill>
    <fill>
      <patternFill patternType="gray125"/>
    </fill>
    <fill>
      <patternFill patternType="solid">
        <fgColor rgb="FF003E7E"/>
        <bgColor indexed="64"/>
      </patternFill>
    </fill>
    <fill>
      <patternFill patternType="solid">
        <fgColor rgb="FFC9DDF0"/>
        <bgColor indexed="64"/>
      </patternFill>
    </fill>
    <fill>
      <patternFill patternType="solid">
        <fgColor rgb="FFEAF4FB"/>
        <bgColor indexed="64"/>
      </patternFill>
    </fill>
    <fill>
      <patternFill patternType="solid">
        <fgColor rgb="FFF3F7D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3E7E"/>
      </top>
      <bottom/>
      <diagonal/>
    </border>
    <border>
      <left/>
      <right/>
      <top style="thin">
        <color rgb="FF003E7E"/>
      </top>
      <bottom style="thin">
        <color rgb="FF003E7E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4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49" fontId="5" fillId="2" borderId="0" xfId="0" quotePrefix="1" applyNumberFormat="1" applyFont="1" applyFill="1" applyAlignment="1">
      <alignment horizontal="center" vertical="center"/>
    </xf>
    <xf numFmtId="4" fontId="6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0" fontId="1" fillId="4" borderId="0" xfId="0" applyFont="1" applyFill="1"/>
    <xf numFmtId="4" fontId="6" fillId="4" borderId="0" xfId="0" applyNumberFormat="1" applyFont="1" applyFill="1" applyAlignment="1">
      <alignment horizontal="right"/>
    </xf>
    <xf numFmtId="3" fontId="6" fillId="4" borderId="0" xfId="0" applyNumberFormat="1" applyFont="1" applyFill="1" applyAlignment="1">
      <alignment horizontal="right"/>
    </xf>
    <xf numFmtId="0" fontId="3" fillId="3" borderId="0" xfId="0" applyFont="1" applyFill="1"/>
    <xf numFmtId="0" fontId="2" fillId="5" borderId="0" xfId="0" applyFont="1" applyFill="1"/>
    <xf numFmtId="3" fontId="2" fillId="5" borderId="1" xfId="0" applyNumberFormat="1" applyFont="1" applyFill="1" applyBorder="1"/>
    <xf numFmtId="164" fontId="6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165" fontId="2" fillId="5" borderId="0" xfId="0" applyNumberFormat="1" applyFont="1" applyFill="1" applyAlignment="1">
      <alignment horizontal="right"/>
    </xf>
    <xf numFmtId="0" fontId="2" fillId="5" borderId="2" xfId="0" applyFont="1" applyFill="1" applyBorder="1"/>
    <xf numFmtId="165" fontId="2" fillId="5" borderId="2" xfId="0" applyNumberFormat="1" applyFont="1" applyFill="1" applyBorder="1" applyAlignment="1">
      <alignment horizontal="right"/>
    </xf>
    <xf numFmtId="164" fontId="1" fillId="4" borderId="0" xfId="0" applyNumberFormat="1" applyFont="1" applyFill="1" applyAlignment="1">
      <alignment horizontal="right"/>
    </xf>
    <xf numFmtId="4" fontId="7" fillId="0" borderId="0" xfId="0" applyNumberFormat="1" applyFont="1" applyAlignment="1">
      <alignment horizontal="right"/>
    </xf>
    <xf numFmtId="4" fontId="7" fillId="4" borderId="0" xfId="0" applyNumberFormat="1" applyFont="1" applyFill="1" applyAlignment="1">
      <alignment horizontal="right"/>
    </xf>
    <xf numFmtId="3" fontId="7" fillId="4" borderId="0" xfId="0" applyNumberFormat="1" applyFont="1" applyFill="1" applyAlignment="1">
      <alignment horizontal="right"/>
    </xf>
    <xf numFmtId="3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165" fontId="7" fillId="4" borderId="0" xfId="0" applyNumberFormat="1" applyFont="1" applyFill="1" applyAlignment="1">
      <alignment horizontal="right"/>
    </xf>
    <xf numFmtId="165" fontId="7" fillId="0" borderId="0" xfId="0" applyNumberFormat="1" applyFont="1" applyAlignment="1">
      <alignment horizontal="right"/>
    </xf>
    <xf numFmtId="164" fontId="7" fillId="4" borderId="0" xfId="0" applyNumberFormat="1" applyFont="1" applyFill="1" applyAlignment="1">
      <alignment horizontal="right"/>
    </xf>
  </cellXfs>
  <cellStyles count="1">
    <cellStyle name="Normal" xfId="0" builtinId="0"/>
  </cellStyles>
  <dxfs count="12">
    <dxf>
      <font>
        <color rgb="FF008000"/>
        <name val="Aptos"/>
      </font>
      <alignment horizontal="right"/>
    </dxf>
    <dxf>
      <font>
        <color rgb="FF008000"/>
        <name val="Aptos"/>
      </font>
      <alignment horizontal="right"/>
    </dxf>
    <dxf>
      <font>
        <color rgb="FF008000"/>
        <name val="Aptos"/>
      </font>
      <alignment horizontal="right"/>
    </dxf>
    <dxf>
      <font>
        <color rgb="FF008000"/>
        <name val="Aptos"/>
      </font>
      <alignment horizontal="right"/>
    </dxf>
    <dxf>
      <font>
        <color rgb="FF008000"/>
        <name val="Aptos"/>
      </font>
      <alignment horizontal="right"/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b/>
        <color rgb="FFFFFFFF"/>
        <name val="Aptos"/>
      </font>
      <numFmt numFmtId="30" formatCode="@"/>
      <fill>
        <patternFill patternType="solid">
          <fgColor indexed="64"/>
          <bgColor rgb="FF003E7E"/>
        </patternFill>
      </fill>
      <alignment horizontal="center" vertic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FA3E34-222C-4C80-84AD-03DE2E9CA4FD}" name="Data_Hulu" displayName="Data_Hulu" ref="A2:J29" totalsRowShown="0" headerRowDxfId="11" dataDxfId="10">
  <autoFilter ref="A2:J29" xr:uid="{D5FA3E34-222C-4C80-84AD-03DE2E9CA4FD}"/>
  <tableColumns count="10">
    <tableColumn id="1" xr3:uid="{BAADB10A-45B8-4D5F-ABE0-F62EAC6FF757}" name="Business Line" dataDxfId="9"/>
    <tableColumn id="2" xr3:uid="{01A8F62E-DFC2-4020-AFBB-97707EB839D1}" name="Sheet" dataDxfId="8"/>
    <tableColumn id="3" xr3:uid="{2E157988-DFD3-4429-B6FA-65D8C0DA0C2D}" name="Section" dataDxfId="7"/>
    <tableColumn id="4" xr3:uid="{B2FDF779-7AAF-4596-A458-B9F2EC092D02}" name="Metric" dataDxfId="6"/>
    <tableColumn id="5" xr3:uid="{F2865647-32E6-4065-80AC-E86DE9A29FFE}" name="Unit" dataDxfId="5"/>
    <tableColumn id="6" xr3:uid="{D0B3FDE9-428D-4198-811C-3BC150B75818}" name="2026" dataDxfId="4"/>
    <tableColumn id="7" xr3:uid="{6318EE92-6E89-419A-B2A4-E18E3436BFFE}" name="2027" dataDxfId="3"/>
    <tableColumn id="8" xr3:uid="{53336C7F-0569-460E-B9AE-F2412B1F250C}" name="2028" dataDxfId="2"/>
    <tableColumn id="9" xr3:uid="{A08C67AF-5FE5-407A-A356-33E0D599C2CC}" name="2029" dataDxfId="1"/>
    <tableColumn id="10" xr3:uid="{FB38DD19-EFC9-407F-BA68-B1F3BA1D8A1E}" name="2030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45.7109375" customWidth="1"/>
    <col min="2" max="2" width="110.7109375" customWidth="1"/>
  </cols>
  <sheetData>
    <row r="1" spans="1:2" ht="26.25" customHeight="1">
      <c r="A1" s="2" t="s">
        <v>0</v>
      </c>
      <c r="B1" s="2"/>
    </row>
    <row r="2" spans="1:2" ht="20.25" customHeight="1">
      <c r="A2" s="3" t="s">
        <v>1</v>
      </c>
      <c r="B2" s="3" t="s">
        <v>2</v>
      </c>
    </row>
    <row r="3" spans="1:2" ht="29.25">
      <c r="A3" s="5" t="s">
        <v>3</v>
      </c>
      <c r="B3" s="4" t="s">
        <v>4</v>
      </c>
    </row>
    <row r="4" spans="1:2">
      <c r="A4" s="7" t="s">
        <v>5</v>
      </c>
      <c r="B4" s="8" t="s">
        <v>6</v>
      </c>
    </row>
    <row r="5" spans="1:2">
      <c r="A5" s="5" t="s">
        <v>7</v>
      </c>
      <c r="B5" s="4" t="s">
        <v>8</v>
      </c>
    </row>
    <row r="6" spans="1:2">
      <c r="A6" s="7" t="s">
        <v>9</v>
      </c>
      <c r="B6" s="8" t="s">
        <v>10</v>
      </c>
    </row>
    <row r="7" spans="1:2">
      <c r="A7" s="5" t="s">
        <v>11</v>
      </c>
      <c r="B7" s="4" t="s">
        <v>12</v>
      </c>
    </row>
    <row r="8" spans="1:2" ht="43.5">
      <c r="A8" s="7" t="s">
        <v>13</v>
      </c>
      <c r="B8" s="8" t="s">
        <v>14</v>
      </c>
    </row>
    <row r="9" spans="1:2" ht="29.25">
      <c r="A9" s="5" t="s">
        <v>15</v>
      </c>
      <c r="B9" s="4" t="s">
        <v>16</v>
      </c>
    </row>
    <row r="10" spans="1:2" ht="29.25">
      <c r="A10" s="7" t="s">
        <v>17</v>
      </c>
      <c r="B10" s="8" t="s">
        <v>18</v>
      </c>
    </row>
    <row r="11" spans="1:2">
      <c r="A11" s="5" t="s">
        <v>19</v>
      </c>
      <c r="B11" s="4" t="s">
        <v>20</v>
      </c>
    </row>
    <row r="12" spans="1:2">
      <c r="A12" s="6" t="s">
        <v>21</v>
      </c>
      <c r="B12" s="6"/>
    </row>
    <row r="13" spans="1:2">
      <c r="A13" s="5" t="s">
        <v>22</v>
      </c>
      <c r="B13" s="4" t="s">
        <v>23</v>
      </c>
    </row>
    <row r="14" spans="1:2" ht="29.25">
      <c r="A14" s="7" t="s">
        <v>24</v>
      </c>
      <c r="B14" s="8" t="s">
        <v>25</v>
      </c>
    </row>
    <row r="15" spans="1:2" ht="29.25">
      <c r="A15" s="5" t="s">
        <v>26</v>
      </c>
      <c r="B15" s="4" t="s">
        <v>27</v>
      </c>
    </row>
    <row r="16" spans="1:2" ht="29.25">
      <c r="A16" s="7" t="s">
        <v>28</v>
      </c>
      <c r="B16" s="8" t="s">
        <v>29</v>
      </c>
    </row>
    <row r="17" spans="1:2" ht="29.25">
      <c r="A17" s="5" t="s">
        <v>30</v>
      </c>
      <c r="B17" s="4" t="s">
        <v>31</v>
      </c>
    </row>
    <row r="18" spans="1:2">
      <c r="A18" s="6" t="s">
        <v>32</v>
      </c>
      <c r="B18" s="6"/>
    </row>
    <row r="19" spans="1:2">
      <c r="A19" s="5" t="s">
        <v>33</v>
      </c>
      <c r="B19" s="4" t="s">
        <v>34</v>
      </c>
    </row>
    <row r="20" spans="1:2" ht="29.25">
      <c r="A20" s="7" t="s">
        <v>35</v>
      </c>
      <c r="B20" s="8" t="s">
        <v>36</v>
      </c>
    </row>
    <row r="21" spans="1:2">
      <c r="A21" s="5" t="s">
        <v>37</v>
      </c>
      <c r="B21" s="4" t="s">
        <v>38</v>
      </c>
    </row>
    <row r="22" spans="1:2" ht="29.25">
      <c r="A22" s="7" t="s">
        <v>39</v>
      </c>
      <c r="B22" s="8" t="s">
        <v>40</v>
      </c>
    </row>
    <row r="23" spans="1:2">
      <c r="A23" s="6" t="s">
        <v>41</v>
      </c>
      <c r="B23" s="6"/>
    </row>
    <row r="24" spans="1:2">
      <c r="A24" s="5" t="s">
        <v>42</v>
      </c>
      <c r="B24" s="4" t="s">
        <v>43</v>
      </c>
    </row>
  </sheetData>
  <mergeCells count="4">
    <mergeCell ref="A1:B1"/>
    <mergeCell ref="A12:B12"/>
    <mergeCell ref="A18:B18"/>
    <mergeCell ref="A23: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D058D-91B9-44E0-BD4F-5501F4BF8FDE}">
  <dimension ref="A1:G6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6.7109375" customWidth="1"/>
    <col min="2" max="2" width="14.7109375" customWidth="1"/>
    <col min="3" max="7" width="12.7109375" customWidth="1"/>
  </cols>
  <sheetData>
    <row r="1" spans="1:7" ht="26.25" customHeight="1">
      <c r="A1" s="2" t="s">
        <v>44</v>
      </c>
      <c r="B1" s="2"/>
      <c r="C1" s="2"/>
      <c r="D1" s="2"/>
      <c r="E1" s="2"/>
      <c r="F1" s="2"/>
      <c r="G1" s="2"/>
    </row>
    <row r="2" spans="1:7" ht="20.25" customHeight="1">
      <c r="A2" s="3" t="s">
        <v>45</v>
      </c>
      <c r="B2" s="3" t="s">
        <v>46</v>
      </c>
      <c r="C2" s="9" t="s">
        <v>47</v>
      </c>
      <c r="D2" s="9" t="s">
        <v>48</v>
      </c>
      <c r="E2" s="9" t="s">
        <v>49</v>
      </c>
      <c r="F2" s="9" t="s">
        <v>50</v>
      </c>
      <c r="G2" s="9" t="s">
        <v>51</v>
      </c>
    </row>
    <row r="3" spans="1:7">
      <c r="A3" s="1" t="s">
        <v>52</v>
      </c>
      <c r="B3" s="1" t="s">
        <v>53</v>
      </c>
      <c r="C3" s="10">
        <v>70</v>
      </c>
      <c r="D3" s="10">
        <v>75</v>
      </c>
      <c r="E3" s="10">
        <v>80</v>
      </c>
      <c r="F3" s="10">
        <v>85</v>
      </c>
      <c r="G3" s="10">
        <v>90</v>
      </c>
    </row>
    <row r="4" spans="1:7">
      <c r="A4" s="12" t="s">
        <v>54</v>
      </c>
      <c r="B4" s="12" t="s">
        <v>55</v>
      </c>
      <c r="C4" s="13">
        <v>2.8</v>
      </c>
      <c r="D4" s="13">
        <v>2.85</v>
      </c>
      <c r="E4" s="13">
        <v>2.9</v>
      </c>
      <c r="F4" s="13">
        <v>2.95</v>
      </c>
      <c r="G4" s="13">
        <v>3</v>
      </c>
    </row>
    <row r="5" spans="1:7">
      <c r="A5" s="1" t="s">
        <v>54</v>
      </c>
      <c r="B5" s="1" t="s">
        <v>56</v>
      </c>
      <c r="C5" s="10">
        <v>2800</v>
      </c>
      <c r="D5" s="10">
        <v>2850</v>
      </c>
      <c r="E5" s="10">
        <v>2900</v>
      </c>
      <c r="F5" s="10">
        <v>2950</v>
      </c>
      <c r="G5" s="10">
        <v>3000</v>
      </c>
    </row>
    <row r="6" spans="1:7">
      <c r="A6" s="12" t="s">
        <v>57</v>
      </c>
      <c r="B6" s="12" t="s">
        <v>58</v>
      </c>
      <c r="C6" s="14">
        <v>16500</v>
      </c>
      <c r="D6" s="14">
        <v>17000</v>
      </c>
      <c r="E6" s="14">
        <v>17500</v>
      </c>
      <c r="F6" s="14">
        <v>18000</v>
      </c>
      <c r="G6" s="14">
        <v>18500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E7554-8494-463B-945A-BD972B9C0DF5}">
  <dimension ref="A1:G1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34.7109375" customWidth="1"/>
    <col min="2" max="2" width="11.7109375" customWidth="1"/>
    <col min="3" max="7" width="12.7109375" customWidth="1"/>
  </cols>
  <sheetData>
    <row r="1" spans="1:7" ht="26.25" customHeight="1">
      <c r="A1" s="2" t="s">
        <v>59</v>
      </c>
      <c r="B1" s="2"/>
      <c r="C1" s="2"/>
      <c r="D1" s="2"/>
      <c r="E1" s="2"/>
      <c r="F1" s="2"/>
      <c r="G1" s="2"/>
    </row>
    <row r="2" spans="1:7" ht="20.25" customHeight="1">
      <c r="A2" s="3" t="s">
        <v>60</v>
      </c>
      <c r="B2" s="3" t="s">
        <v>46</v>
      </c>
      <c r="C2" s="9" t="s">
        <v>47</v>
      </c>
      <c r="D2" s="9" t="s">
        <v>48</v>
      </c>
      <c r="E2" s="9" t="s">
        <v>49</v>
      </c>
      <c r="F2" s="9" t="s">
        <v>50</v>
      </c>
      <c r="G2" s="9" t="s">
        <v>51</v>
      </c>
    </row>
    <row r="3" spans="1:7">
      <c r="A3" s="15" t="s">
        <v>61</v>
      </c>
      <c r="B3" s="15"/>
      <c r="C3" s="15"/>
      <c r="D3" s="15"/>
      <c r="E3" s="15"/>
      <c r="F3" s="15"/>
      <c r="G3" s="15"/>
    </row>
    <row r="4" spans="1:7">
      <c r="A4" s="1" t="s">
        <v>62</v>
      </c>
      <c r="B4" s="1" t="s">
        <v>63</v>
      </c>
      <c r="C4" s="11">
        <v>225</v>
      </c>
      <c r="D4" s="11">
        <v>215</v>
      </c>
      <c r="E4" s="11">
        <v>205</v>
      </c>
      <c r="F4" s="11">
        <v>190</v>
      </c>
      <c r="G4" s="11">
        <v>185</v>
      </c>
    </row>
    <row r="5" spans="1:7">
      <c r="A5" s="12" t="s">
        <v>64</v>
      </c>
      <c r="B5" s="12" t="s">
        <v>63</v>
      </c>
      <c r="C5" s="14">
        <v>90</v>
      </c>
      <c r="D5" s="14">
        <v>95</v>
      </c>
      <c r="E5" s="14">
        <v>100</v>
      </c>
      <c r="F5" s="14">
        <v>105</v>
      </c>
      <c r="G5" s="14">
        <v>110</v>
      </c>
    </row>
    <row r="6" spans="1:7">
      <c r="A6" s="1" t="s">
        <v>65</v>
      </c>
      <c r="B6" s="1" t="s">
        <v>63</v>
      </c>
      <c r="C6" s="11">
        <v>0</v>
      </c>
      <c r="D6" s="11">
        <v>40</v>
      </c>
      <c r="E6" s="11">
        <v>70</v>
      </c>
      <c r="F6" s="11">
        <v>100</v>
      </c>
      <c r="G6" s="11">
        <v>150</v>
      </c>
    </row>
    <row r="7" spans="1:7">
      <c r="A7" s="17" t="s">
        <v>66</v>
      </c>
      <c r="B7" s="17" t="s">
        <v>63</v>
      </c>
      <c r="C7" s="17">
        <f>SUM(C4:C6)</f>
        <v>315</v>
      </c>
      <c r="D7" s="17">
        <f>SUM(D4:D6)</f>
        <v>350</v>
      </c>
      <c r="E7" s="17">
        <f>SUM(E4:E6)</f>
        <v>375</v>
      </c>
      <c r="F7" s="17">
        <f>SUM(F4:F6)</f>
        <v>395</v>
      </c>
      <c r="G7" s="17">
        <f>SUM(G4:G6)</f>
        <v>445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5" t="s">
        <v>67</v>
      </c>
      <c r="B9" s="15"/>
      <c r="C9" s="15"/>
      <c r="D9" s="15"/>
      <c r="E9" s="15"/>
      <c r="F9" s="15"/>
      <c r="G9" s="15"/>
    </row>
    <row r="10" spans="1:7">
      <c r="A10" s="1" t="s">
        <v>62</v>
      </c>
      <c r="B10" s="1" t="s">
        <v>68</v>
      </c>
      <c r="C10" s="11">
        <v>575</v>
      </c>
      <c r="D10" s="11">
        <v>625</v>
      </c>
      <c r="E10" s="11">
        <v>700</v>
      </c>
      <c r="F10" s="11">
        <v>750</v>
      </c>
      <c r="G10" s="11">
        <v>775</v>
      </c>
    </row>
    <row r="11" spans="1:7">
      <c r="A11" s="12" t="s">
        <v>64</v>
      </c>
      <c r="B11" s="12" t="s">
        <v>68</v>
      </c>
      <c r="C11" s="14">
        <v>220</v>
      </c>
      <c r="D11" s="14">
        <v>230</v>
      </c>
      <c r="E11" s="14">
        <v>250</v>
      </c>
      <c r="F11" s="14">
        <v>275</v>
      </c>
      <c r="G11" s="14">
        <v>300</v>
      </c>
    </row>
    <row r="12" spans="1:7">
      <c r="A12" s="1" t="s">
        <v>65</v>
      </c>
      <c r="B12" s="1" t="s">
        <v>68</v>
      </c>
      <c r="C12" s="11">
        <v>0</v>
      </c>
      <c r="D12" s="11">
        <v>57</v>
      </c>
      <c r="E12" s="11">
        <v>150</v>
      </c>
      <c r="F12" s="11">
        <v>200</v>
      </c>
      <c r="G12" s="11">
        <v>250</v>
      </c>
    </row>
    <row r="13" spans="1:7">
      <c r="A13" s="17" t="s">
        <v>69</v>
      </c>
      <c r="B13" s="17" t="s">
        <v>68</v>
      </c>
      <c r="C13" s="17">
        <f>SUM(C10:C12)</f>
        <v>795</v>
      </c>
      <c r="D13" s="17">
        <f>SUM(D10:D12)</f>
        <v>912</v>
      </c>
      <c r="E13" s="17">
        <f>SUM(E10:E12)</f>
        <v>1100</v>
      </c>
      <c r="F13" s="17">
        <f>SUM(F10:F12)</f>
        <v>1225</v>
      </c>
      <c r="G13" s="17">
        <f>SUM(G10:G12)</f>
        <v>1325</v>
      </c>
    </row>
    <row r="14" spans="1:7">
      <c r="A14" s="1"/>
      <c r="B14" s="1"/>
      <c r="C14" s="1"/>
      <c r="D14" s="1"/>
      <c r="E14" s="1"/>
      <c r="F14" s="1"/>
      <c r="G14" s="1"/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B177F-C9C2-4752-8551-09933477A605}">
  <dimension ref="A1:G22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30.7109375" customWidth="1"/>
    <col min="2" max="2" width="16.7109375" customWidth="1"/>
    <col min="3" max="7" width="14.7109375" customWidth="1"/>
  </cols>
  <sheetData>
    <row r="1" spans="1:7" ht="26.25" customHeight="1">
      <c r="A1" s="2" t="s">
        <v>70</v>
      </c>
      <c r="B1" s="2"/>
      <c r="C1" s="2"/>
      <c r="D1" s="2"/>
      <c r="E1" s="2"/>
      <c r="F1" s="2"/>
      <c r="G1" s="2"/>
    </row>
    <row r="2" spans="1:7" ht="20.25" customHeight="1">
      <c r="A2" s="3" t="s">
        <v>45</v>
      </c>
      <c r="B2" s="3" t="s">
        <v>46</v>
      </c>
      <c r="C2" s="3" t="s">
        <v>71</v>
      </c>
      <c r="D2" s="1"/>
      <c r="E2" s="1"/>
      <c r="F2" s="1"/>
      <c r="G2" s="1"/>
    </row>
    <row r="3" spans="1:7">
      <c r="A3" s="1" t="s">
        <v>72</v>
      </c>
      <c r="B3" s="1" t="s">
        <v>73</v>
      </c>
      <c r="C3" s="18">
        <v>0.22</v>
      </c>
      <c r="D3" s="1"/>
      <c r="E3" s="1"/>
      <c r="F3" s="1"/>
      <c r="G3" s="1"/>
    </row>
    <row r="4" spans="1:7">
      <c r="A4" s="1"/>
      <c r="B4" s="1"/>
      <c r="C4" s="1"/>
      <c r="D4" s="1"/>
      <c r="E4" s="1"/>
      <c r="F4" s="1"/>
      <c r="G4" s="1"/>
    </row>
    <row r="5" spans="1:7">
      <c r="A5" s="3" t="s">
        <v>74</v>
      </c>
      <c r="B5" s="3" t="s">
        <v>46</v>
      </c>
      <c r="C5" s="9" t="s">
        <v>47</v>
      </c>
      <c r="D5" s="9" t="s">
        <v>48</v>
      </c>
      <c r="E5" s="9" t="s">
        <v>49</v>
      </c>
      <c r="F5" s="9" t="s">
        <v>50</v>
      </c>
      <c r="G5" s="9" t="s">
        <v>51</v>
      </c>
    </row>
    <row r="6" spans="1:7">
      <c r="A6" s="15" t="s">
        <v>75</v>
      </c>
      <c r="B6" s="15"/>
      <c r="C6" s="15"/>
      <c r="D6" s="15"/>
      <c r="E6" s="15"/>
      <c r="F6" s="15"/>
      <c r="G6" s="15"/>
    </row>
    <row r="7" spans="1:7">
      <c r="A7" s="16" t="s">
        <v>76</v>
      </c>
      <c r="B7" s="16" t="s">
        <v>77</v>
      </c>
      <c r="C7" s="22">
        <f>(Operasional!C7*1000*365*'Key Assumptions'!C3+Operasional!C13*365*'Key Assumptions'!C5)/1000</f>
        <v>8860740</v>
      </c>
      <c r="D7" s="22">
        <f>(Operasional!D7*1000*365*'Key Assumptions'!D3+Operasional!D13*365*'Key Assumptions'!D5)/1000</f>
        <v>10529958</v>
      </c>
      <c r="E7" s="22">
        <f>(Operasional!E7*1000*365*'Key Assumptions'!E3+Operasional!E13*365*'Key Assumptions'!E5)/1000</f>
        <v>12114350</v>
      </c>
      <c r="F7" s="22">
        <f>(Operasional!F7*1000*365*'Key Assumptions'!F3+Operasional!F13*365*'Key Assumptions'!F5)/1000</f>
        <v>13573893.75</v>
      </c>
      <c r="G7" s="22">
        <f>(Operasional!G7*1000*365*'Key Assumptions'!G3+Operasional!G13*365*'Key Assumptions'!G5)/1000</f>
        <v>16069125</v>
      </c>
    </row>
    <row r="8" spans="1:7">
      <c r="A8" s="1" t="s">
        <v>78</v>
      </c>
      <c r="B8" s="1" t="s">
        <v>77</v>
      </c>
      <c r="C8" s="21">
        <v>-4000000</v>
      </c>
      <c r="D8" s="21">
        <v>-5000000</v>
      </c>
      <c r="E8" s="21">
        <v>-6000000</v>
      </c>
      <c r="F8" s="21">
        <v>-7000000</v>
      </c>
      <c r="G8" s="21">
        <v>-8400000</v>
      </c>
    </row>
    <row r="9" spans="1:7">
      <c r="A9" s="16" t="s">
        <v>79</v>
      </c>
      <c r="B9" s="16" t="s">
        <v>77</v>
      </c>
      <c r="C9" s="22">
        <f>C7+C8</f>
        <v>4860740</v>
      </c>
      <c r="D9" s="22">
        <f>D7+D8</f>
        <v>5529958</v>
      </c>
      <c r="E9" s="22">
        <f>E7+E8</f>
        <v>6114350</v>
      </c>
      <c r="F9" s="22">
        <f>F7+F8</f>
        <v>6573893.75</v>
      </c>
      <c r="G9" s="22">
        <f>G7+G8</f>
        <v>7669125</v>
      </c>
    </row>
    <row r="10" spans="1:7">
      <c r="A10" s="1" t="s">
        <v>80</v>
      </c>
      <c r="B10" s="1" t="s">
        <v>77</v>
      </c>
      <c r="C10" s="21">
        <v>-1350000</v>
      </c>
      <c r="D10" s="21">
        <v>-1687500</v>
      </c>
      <c r="E10" s="21">
        <v>-1968750</v>
      </c>
      <c r="F10" s="21">
        <v>-2193750</v>
      </c>
      <c r="G10" s="21">
        <v>-2475000</v>
      </c>
    </row>
    <row r="11" spans="1:7">
      <c r="A11" s="16" t="s">
        <v>81</v>
      </c>
      <c r="B11" s="16" t="s">
        <v>77</v>
      </c>
      <c r="C11" s="22">
        <f>C9+C10</f>
        <v>3510740</v>
      </c>
      <c r="D11" s="22">
        <f>D9+D10</f>
        <v>3842458</v>
      </c>
      <c r="E11" s="22">
        <f>E9+E10</f>
        <v>4145600</v>
      </c>
      <c r="F11" s="22">
        <f>F9+F10</f>
        <v>4380143.75</v>
      </c>
      <c r="G11" s="22">
        <f>G9+G10</f>
        <v>5194125</v>
      </c>
    </row>
    <row r="12" spans="1:7">
      <c r="A12" s="1" t="s">
        <v>82</v>
      </c>
      <c r="B12" s="1" t="s">
        <v>77</v>
      </c>
      <c r="C12" s="21">
        <v>-1000000</v>
      </c>
      <c r="D12" s="21">
        <v>-1150000</v>
      </c>
      <c r="E12" s="21">
        <v>-1300000</v>
      </c>
      <c r="F12" s="21">
        <v>-1500000</v>
      </c>
      <c r="G12" s="21">
        <v>-1750000</v>
      </c>
    </row>
    <row r="13" spans="1:7">
      <c r="A13" s="16" t="s">
        <v>83</v>
      </c>
      <c r="B13" s="16" t="s">
        <v>77</v>
      </c>
      <c r="C13" s="22">
        <f>C11+C12</f>
        <v>2510740</v>
      </c>
      <c r="D13" s="22">
        <f>D11+D12</f>
        <v>2692458</v>
      </c>
      <c r="E13" s="22">
        <f>E11+E12</f>
        <v>2845600</v>
      </c>
      <c r="F13" s="22">
        <f>F11+F12</f>
        <v>2880143.75</v>
      </c>
      <c r="G13" s="22">
        <f>G11+G12</f>
        <v>3444125</v>
      </c>
    </row>
    <row r="14" spans="1:7">
      <c r="A14" s="1" t="s">
        <v>84</v>
      </c>
      <c r="B14" s="1" t="s">
        <v>77</v>
      </c>
      <c r="C14" s="21">
        <v>-150000</v>
      </c>
      <c r="D14" s="21">
        <v>-175000</v>
      </c>
      <c r="E14" s="21">
        <v>-200000</v>
      </c>
      <c r="F14" s="21">
        <v>-225000</v>
      </c>
      <c r="G14" s="21">
        <v>-250000</v>
      </c>
    </row>
    <row r="15" spans="1:7">
      <c r="A15" s="16" t="s">
        <v>85</v>
      </c>
      <c r="B15" s="16" t="s">
        <v>77</v>
      </c>
      <c r="C15" s="22">
        <f>C13+C14</f>
        <v>2360740</v>
      </c>
      <c r="D15" s="22">
        <f>D13+D14</f>
        <v>2517458</v>
      </c>
      <c r="E15" s="22">
        <f>E13+E14</f>
        <v>2645600</v>
      </c>
      <c r="F15" s="22">
        <f>F13+F14</f>
        <v>2655143.75</v>
      </c>
      <c r="G15" s="22">
        <f>G13+G14</f>
        <v>3194125</v>
      </c>
    </row>
    <row r="16" spans="1:7">
      <c r="A16" s="1" t="s">
        <v>86</v>
      </c>
      <c r="B16" s="1" t="s">
        <v>77</v>
      </c>
      <c r="C16" s="19">
        <f>-C15*$C$3</f>
        <v>-519362.8</v>
      </c>
      <c r="D16" s="19">
        <f>-D15*$C$3</f>
        <v>-553840.76</v>
      </c>
      <c r="E16" s="19">
        <f>-E15*$C$3</f>
        <v>-582032</v>
      </c>
      <c r="F16" s="19">
        <f>-F15*$C$3</f>
        <v>-584131.625</v>
      </c>
      <c r="G16" s="19">
        <f>-G15*$C$3</f>
        <v>-702707.5</v>
      </c>
    </row>
    <row r="17" spans="1:7">
      <c r="A17" s="23" t="s">
        <v>87</v>
      </c>
      <c r="B17" s="23" t="s">
        <v>77</v>
      </c>
      <c r="C17" s="24">
        <f>C15+C16</f>
        <v>1841377.2</v>
      </c>
      <c r="D17" s="24">
        <f>D15+D16</f>
        <v>1963617.24</v>
      </c>
      <c r="E17" s="24">
        <f>E15+E16</f>
        <v>2063568</v>
      </c>
      <c r="F17" s="24">
        <f>F15+F16</f>
        <v>2071012.125</v>
      </c>
      <c r="G17" s="24">
        <f>G15+G16</f>
        <v>2491417.5</v>
      </c>
    </row>
    <row r="18" spans="1:7">
      <c r="A18" s="1" t="s">
        <v>88</v>
      </c>
      <c r="B18" s="1" t="s">
        <v>73</v>
      </c>
      <c r="C18" s="20">
        <f>IF(C7=0,0,C11/C7)</f>
        <v>0.39621295738279194</v>
      </c>
      <c r="D18" s="20">
        <f>IF(D7=0,0,D11/D7)</f>
        <v>0.36490724844296624</v>
      </c>
      <c r="E18" s="20">
        <f>IF(E7=0,0,E11/E7)</f>
        <v>0.3422057312195867</v>
      </c>
      <c r="F18" s="20">
        <f>IF(F7=0,0,F11/F7)</f>
        <v>0.32268881948482908</v>
      </c>
      <c r="G18" s="20">
        <f>IF(G7=0,0,G11/G7)</f>
        <v>0.32323633054071083</v>
      </c>
    </row>
    <row r="19" spans="1:7">
      <c r="A19" s="12" t="s">
        <v>89</v>
      </c>
      <c r="B19" s="12" t="s">
        <v>73</v>
      </c>
      <c r="C19" s="25">
        <f>IF(C7=0,0,C17/C7)</f>
        <v>0.2078130269029449</v>
      </c>
      <c r="D19" s="25">
        <f>IF(D7=0,0,D17/D7)</f>
        <v>0.1864791141617089</v>
      </c>
      <c r="E19" s="25">
        <f>IF(E7=0,0,E17/E7)</f>
        <v>0.17034079418210635</v>
      </c>
      <c r="F19" s="25">
        <f>IF(F7=0,0,F17/F7)</f>
        <v>0.15257317930604841</v>
      </c>
      <c r="G19" s="25">
        <f>IF(G7=0,0,G17/G7)</f>
        <v>0.15504375627173228</v>
      </c>
    </row>
    <row r="20" spans="1:7">
      <c r="A20" s="1"/>
      <c r="B20" s="1"/>
      <c r="C20" s="1"/>
      <c r="D20" s="1"/>
      <c r="E20" s="1"/>
      <c r="F20" s="1"/>
      <c r="G20" s="1"/>
    </row>
    <row r="21" spans="1:7">
      <c r="A21" s="15" t="s">
        <v>90</v>
      </c>
      <c r="B21" s="15"/>
      <c r="C21" s="15"/>
      <c r="D21" s="15"/>
      <c r="E21" s="15"/>
      <c r="F21" s="15"/>
      <c r="G21" s="15"/>
    </row>
    <row r="22" spans="1:7">
      <c r="A22" s="1" t="s">
        <v>91</v>
      </c>
      <c r="B22" s="1" t="s">
        <v>77</v>
      </c>
      <c r="C22" s="21">
        <v>3800000</v>
      </c>
      <c r="D22" s="21">
        <v>4600000</v>
      </c>
      <c r="E22" s="21">
        <v>5550000</v>
      </c>
      <c r="F22" s="21">
        <v>6400000</v>
      </c>
      <c r="G22" s="21">
        <v>7250000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E4EEE-4A11-4361-AEC8-1A9B5A4F6AE5}">
  <dimension ref="A1:J29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4.7109375" customWidth="1"/>
    <col min="2" max="2" width="17.7109375" customWidth="1"/>
    <col min="3" max="3" width="34.7109375" customWidth="1"/>
    <col min="4" max="4" width="28.7109375" customWidth="1"/>
    <col min="5" max="5" width="15.7109375" customWidth="1"/>
    <col min="6" max="10" width="14.7109375" customWidth="1"/>
  </cols>
  <sheetData>
    <row r="1" spans="1:10" ht="26.25" customHeight="1">
      <c r="A1" s="2" t="s">
        <v>92</v>
      </c>
      <c r="B1" s="2"/>
      <c r="C1" s="2"/>
      <c r="D1" s="2"/>
      <c r="E1" s="2"/>
      <c r="F1" s="2"/>
      <c r="G1" s="2"/>
      <c r="H1" s="2"/>
      <c r="I1" s="2"/>
      <c r="J1" s="2"/>
    </row>
    <row r="2" spans="1:10" ht="20.25" customHeight="1">
      <c r="A2" s="3" t="s">
        <v>93</v>
      </c>
      <c r="B2" s="3" t="s">
        <v>94</v>
      </c>
      <c r="C2" s="3" t="s">
        <v>95</v>
      </c>
      <c r="D2" s="3" t="s">
        <v>60</v>
      </c>
      <c r="E2" s="3" t="s">
        <v>46</v>
      </c>
      <c r="F2" s="9" t="s">
        <v>47</v>
      </c>
      <c r="G2" s="9" t="s">
        <v>48</v>
      </c>
      <c r="H2" s="9" t="s">
        <v>49</v>
      </c>
      <c r="I2" s="9" t="s">
        <v>50</v>
      </c>
      <c r="J2" s="9" t="s">
        <v>51</v>
      </c>
    </row>
    <row r="3" spans="1:10">
      <c r="A3" s="1" t="s">
        <v>96</v>
      </c>
      <c r="B3" s="1" t="s">
        <v>97</v>
      </c>
      <c r="C3" s="1" t="s">
        <v>97</v>
      </c>
      <c r="D3" s="1" t="s">
        <v>52</v>
      </c>
      <c r="E3" s="1" t="s">
        <v>53</v>
      </c>
      <c r="F3" s="26">
        <f>'Key Assumptions'!C3</f>
        <v>70</v>
      </c>
      <c r="G3" s="26">
        <f>'Key Assumptions'!D3</f>
        <v>75</v>
      </c>
      <c r="H3" s="26">
        <f>'Key Assumptions'!E3</f>
        <v>80</v>
      </c>
      <c r="I3" s="26">
        <f>'Key Assumptions'!F3</f>
        <v>85</v>
      </c>
      <c r="J3" s="26">
        <f>'Key Assumptions'!G3</f>
        <v>90</v>
      </c>
    </row>
    <row r="4" spans="1:10">
      <c r="A4" s="12" t="s">
        <v>96</v>
      </c>
      <c r="B4" s="12" t="s">
        <v>97</v>
      </c>
      <c r="C4" s="12" t="s">
        <v>97</v>
      </c>
      <c r="D4" s="12" t="s">
        <v>54</v>
      </c>
      <c r="E4" s="12" t="s">
        <v>55</v>
      </c>
      <c r="F4" s="27">
        <f>'Key Assumptions'!C4</f>
        <v>2.8</v>
      </c>
      <c r="G4" s="27">
        <f>'Key Assumptions'!D4</f>
        <v>2.85</v>
      </c>
      <c r="H4" s="27">
        <f>'Key Assumptions'!E4</f>
        <v>2.9</v>
      </c>
      <c r="I4" s="27">
        <f>'Key Assumptions'!F4</f>
        <v>2.95</v>
      </c>
      <c r="J4" s="27">
        <f>'Key Assumptions'!G4</f>
        <v>3</v>
      </c>
    </row>
    <row r="5" spans="1:10">
      <c r="A5" s="1" t="s">
        <v>96</v>
      </c>
      <c r="B5" s="1" t="s">
        <v>97</v>
      </c>
      <c r="C5" s="1" t="s">
        <v>97</v>
      </c>
      <c r="D5" s="1" t="s">
        <v>54</v>
      </c>
      <c r="E5" s="1" t="s">
        <v>56</v>
      </c>
      <c r="F5" s="26">
        <f>'Key Assumptions'!C5</f>
        <v>2800</v>
      </c>
      <c r="G5" s="26">
        <f>'Key Assumptions'!D5</f>
        <v>2850</v>
      </c>
      <c r="H5" s="26">
        <f>'Key Assumptions'!E5</f>
        <v>2900</v>
      </c>
      <c r="I5" s="26">
        <f>'Key Assumptions'!F5</f>
        <v>2950</v>
      </c>
      <c r="J5" s="26">
        <f>'Key Assumptions'!G5</f>
        <v>3000</v>
      </c>
    </row>
    <row r="6" spans="1:10">
      <c r="A6" s="12" t="s">
        <v>96</v>
      </c>
      <c r="B6" s="12" t="s">
        <v>97</v>
      </c>
      <c r="C6" s="12" t="s">
        <v>97</v>
      </c>
      <c r="D6" s="12" t="s">
        <v>57</v>
      </c>
      <c r="E6" s="12" t="s">
        <v>58</v>
      </c>
      <c r="F6" s="28">
        <f>'Key Assumptions'!C6</f>
        <v>16500</v>
      </c>
      <c r="G6" s="28">
        <f>'Key Assumptions'!D6</f>
        <v>17000</v>
      </c>
      <c r="H6" s="28">
        <f>'Key Assumptions'!E6</f>
        <v>17500</v>
      </c>
      <c r="I6" s="28">
        <f>'Key Assumptions'!F6</f>
        <v>18000</v>
      </c>
      <c r="J6" s="28">
        <f>'Key Assumptions'!G6</f>
        <v>18500</v>
      </c>
    </row>
    <row r="7" spans="1:10">
      <c r="A7" s="1" t="s">
        <v>96</v>
      </c>
      <c r="B7" s="1" t="s">
        <v>98</v>
      </c>
      <c r="C7" s="1" t="s">
        <v>61</v>
      </c>
      <c r="D7" s="1" t="s">
        <v>62</v>
      </c>
      <c r="E7" s="1" t="s">
        <v>63</v>
      </c>
      <c r="F7" s="29">
        <f>Operasional!C4</f>
        <v>225</v>
      </c>
      <c r="G7" s="29">
        <f>Operasional!D4</f>
        <v>215</v>
      </c>
      <c r="H7" s="29">
        <f>Operasional!E4</f>
        <v>205</v>
      </c>
      <c r="I7" s="29">
        <f>Operasional!F4</f>
        <v>190</v>
      </c>
      <c r="J7" s="29">
        <f>Operasional!G4</f>
        <v>185</v>
      </c>
    </row>
    <row r="8" spans="1:10">
      <c r="A8" s="12" t="s">
        <v>96</v>
      </c>
      <c r="B8" s="12" t="s">
        <v>98</v>
      </c>
      <c r="C8" s="12" t="s">
        <v>61</v>
      </c>
      <c r="D8" s="12" t="s">
        <v>64</v>
      </c>
      <c r="E8" s="12" t="s">
        <v>63</v>
      </c>
      <c r="F8" s="28">
        <f>Operasional!C5</f>
        <v>90</v>
      </c>
      <c r="G8" s="28">
        <f>Operasional!D5</f>
        <v>95</v>
      </c>
      <c r="H8" s="28">
        <f>Operasional!E5</f>
        <v>100</v>
      </c>
      <c r="I8" s="28">
        <f>Operasional!F5</f>
        <v>105</v>
      </c>
      <c r="J8" s="28">
        <f>Operasional!G5</f>
        <v>110</v>
      </c>
    </row>
    <row r="9" spans="1:10">
      <c r="A9" s="1" t="s">
        <v>96</v>
      </c>
      <c r="B9" s="1" t="s">
        <v>98</v>
      </c>
      <c r="C9" s="1" t="s">
        <v>61</v>
      </c>
      <c r="D9" s="1" t="s">
        <v>65</v>
      </c>
      <c r="E9" s="1" t="s">
        <v>63</v>
      </c>
      <c r="F9" s="29">
        <f>Operasional!C6</f>
        <v>0</v>
      </c>
      <c r="G9" s="29">
        <f>Operasional!D6</f>
        <v>40</v>
      </c>
      <c r="H9" s="29">
        <f>Operasional!E6</f>
        <v>70</v>
      </c>
      <c r="I9" s="29">
        <f>Operasional!F6</f>
        <v>100</v>
      </c>
      <c r="J9" s="29">
        <f>Operasional!G6</f>
        <v>150</v>
      </c>
    </row>
    <row r="10" spans="1:10">
      <c r="A10" s="12" t="s">
        <v>96</v>
      </c>
      <c r="B10" s="12" t="s">
        <v>98</v>
      </c>
      <c r="C10" s="12" t="s">
        <v>61</v>
      </c>
      <c r="D10" s="12" t="s">
        <v>66</v>
      </c>
      <c r="E10" s="12" t="s">
        <v>63</v>
      </c>
      <c r="F10" s="28">
        <f>Operasional!C7</f>
        <v>315</v>
      </c>
      <c r="G10" s="28">
        <f>Operasional!D7</f>
        <v>350</v>
      </c>
      <c r="H10" s="28">
        <f>Operasional!E7</f>
        <v>375</v>
      </c>
      <c r="I10" s="28">
        <f>Operasional!F7</f>
        <v>395</v>
      </c>
      <c r="J10" s="28">
        <f>Operasional!G7</f>
        <v>445</v>
      </c>
    </row>
    <row r="11" spans="1:10">
      <c r="A11" s="1" t="s">
        <v>96</v>
      </c>
      <c r="B11" s="1" t="s">
        <v>98</v>
      </c>
      <c r="C11" s="1" t="s">
        <v>67</v>
      </c>
      <c r="D11" s="1" t="s">
        <v>62</v>
      </c>
      <c r="E11" s="1" t="s">
        <v>68</v>
      </c>
      <c r="F11" s="29">
        <f>Operasional!C10</f>
        <v>575</v>
      </c>
      <c r="G11" s="29">
        <f>Operasional!D10</f>
        <v>625</v>
      </c>
      <c r="H11" s="29">
        <f>Operasional!E10</f>
        <v>700</v>
      </c>
      <c r="I11" s="29">
        <f>Operasional!F10</f>
        <v>750</v>
      </c>
      <c r="J11" s="29">
        <f>Operasional!G10</f>
        <v>775</v>
      </c>
    </row>
    <row r="12" spans="1:10">
      <c r="A12" s="12" t="s">
        <v>96</v>
      </c>
      <c r="B12" s="12" t="s">
        <v>98</v>
      </c>
      <c r="C12" s="12" t="s">
        <v>67</v>
      </c>
      <c r="D12" s="12" t="s">
        <v>64</v>
      </c>
      <c r="E12" s="12" t="s">
        <v>68</v>
      </c>
      <c r="F12" s="28">
        <f>Operasional!C11</f>
        <v>220</v>
      </c>
      <c r="G12" s="28">
        <f>Operasional!D11</f>
        <v>230</v>
      </c>
      <c r="H12" s="28">
        <f>Operasional!E11</f>
        <v>250</v>
      </c>
      <c r="I12" s="28">
        <f>Operasional!F11</f>
        <v>275</v>
      </c>
      <c r="J12" s="28">
        <f>Operasional!G11</f>
        <v>300</v>
      </c>
    </row>
    <row r="13" spans="1:10">
      <c r="A13" s="1" t="s">
        <v>96</v>
      </c>
      <c r="B13" s="1" t="s">
        <v>98</v>
      </c>
      <c r="C13" s="1" t="s">
        <v>67</v>
      </c>
      <c r="D13" s="1" t="s">
        <v>65</v>
      </c>
      <c r="E13" s="1" t="s">
        <v>68</v>
      </c>
      <c r="F13" s="29">
        <f>Operasional!C12</f>
        <v>0</v>
      </c>
      <c r="G13" s="29">
        <f>Operasional!D12</f>
        <v>57</v>
      </c>
      <c r="H13" s="29">
        <f>Operasional!E12</f>
        <v>150</v>
      </c>
      <c r="I13" s="29">
        <f>Operasional!F12</f>
        <v>200</v>
      </c>
      <c r="J13" s="29">
        <f>Operasional!G12</f>
        <v>250</v>
      </c>
    </row>
    <row r="14" spans="1:10">
      <c r="A14" s="12" t="s">
        <v>96</v>
      </c>
      <c r="B14" s="12" t="s">
        <v>98</v>
      </c>
      <c r="C14" s="12" t="s">
        <v>67</v>
      </c>
      <c r="D14" s="12" t="s">
        <v>69</v>
      </c>
      <c r="E14" s="12" t="s">
        <v>68</v>
      </c>
      <c r="F14" s="28">
        <f>Operasional!C13</f>
        <v>795</v>
      </c>
      <c r="G14" s="28">
        <f>Operasional!D13</f>
        <v>912</v>
      </c>
      <c r="H14" s="28">
        <f>Operasional!E13</f>
        <v>1100</v>
      </c>
      <c r="I14" s="28">
        <f>Operasional!F13</f>
        <v>1225</v>
      </c>
      <c r="J14" s="28">
        <f>Operasional!G13</f>
        <v>1325</v>
      </c>
    </row>
    <row r="15" spans="1:10">
      <c r="A15" s="1" t="s">
        <v>96</v>
      </c>
      <c r="B15" s="1" t="s">
        <v>99</v>
      </c>
      <c r="C15" s="1" t="s">
        <v>100</v>
      </c>
      <c r="D15" s="1" t="s">
        <v>72</v>
      </c>
      <c r="E15" s="1" t="s">
        <v>73</v>
      </c>
      <c r="F15" s="30">
        <f>Finansial!$C$3</f>
        <v>0.22</v>
      </c>
      <c r="G15" s="30">
        <f>Finansial!$C$3</f>
        <v>0.22</v>
      </c>
      <c r="H15" s="30">
        <f>Finansial!$C$3</f>
        <v>0.22</v>
      </c>
      <c r="I15" s="30">
        <f>Finansial!$C$3</f>
        <v>0.22</v>
      </c>
      <c r="J15" s="30">
        <f>Finansial!$C$3</f>
        <v>0.22</v>
      </c>
    </row>
    <row r="16" spans="1:10">
      <c r="A16" s="12" t="s">
        <v>96</v>
      </c>
      <c r="B16" s="12" t="s">
        <v>99</v>
      </c>
      <c r="C16" s="12" t="s">
        <v>75</v>
      </c>
      <c r="D16" s="12" t="s">
        <v>76</v>
      </c>
      <c r="E16" s="12" t="s">
        <v>77</v>
      </c>
      <c r="F16" s="31">
        <f>Finansial!C7</f>
        <v>8860740</v>
      </c>
      <c r="G16" s="31">
        <f>Finansial!D7</f>
        <v>10529958</v>
      </c>
      <c r="H16" s="31">
        <f>Finansial!E7</f>
        <v>12114350</v>
      </c>
      <c r="I16" s="31">
        <f>Finansial!F7</f>
        <v>13573893.75</v>
      </c>
      <c r="J16" s="31">
        <f>Finansial!G7</f>
        <v>16069125</v>
      </c>
    </row>
    <row r="17" spans="1:10">
      <c r="A17" s="1" t="s">
        <v>96</v>
      </c>
      <c r="B17" s="1" t="s">
        <v>99</v>
      </c>
      <c r="C17" s="1" t="s">
        <v>75</v>
      </c>
      <c r="D17" s="1" t="s">
        <v>78</v>
      </c>
      <c r="E17" s="1" t="s">
        <v>77</v>
      </c>
      <c r="F17" s="32">
        <f>Finansial!C8</f>
        <v>-4000000</v>
      </c>
      <c r="G17" s="32">
        <f>Finansial!D8</f>
        <v>-5000000</v>
      </c>
      <c r="H17" s="32">
        <f>Finansial!E8</f>
        <v>-6000000</v>
      </c>
      <c r="I17" s="32">
        <f>Finansial!F8</f>
        <v>-7000000</v>
      </c>
      <c r="J17" s="32">
        <f>Finansial!G8</f>
        <v>-8400000</v>
      </c>
    </row>
    <row r="18" spans="1:10">
      <c r="A18" s="12" t="s">
        <v>96</v>
      </c>
      <c r="B18" s="12" t="s">
        <v>99</v>
      </c>
      <c r="C18" s="12" t="s">
        <v>75</v>
      </c>
      <c r="D18" s="12" t="s">
        <v>79</v>
      </c>
      <c r="E18" s="12" t="s">
        <v>77</v>
      </c>
      <c r="F18" s="31">
        <f>Finansial!C9</f>
        <v>4860740</v>
      </c>
      <c r="G18" s="31">
        <f>Finansial!D9</f>
        <v>5529958</v>
      </c>
      <c r="H18" s="31">
        <f>Finansial!E9</f>
        <v>6114350</v>
      </c>
      <c r="I18" s="31">
        <f>Finansial!F9</f>
        <v>6573893.75</v>
      </c>
      <c r="J18" s="31">
        <f>Finansial!G9</f>
        <v>7669125</v>
      </c>
    </row>
    <row r="19" spans="1:10">
      <c r="A19" s="1" t="s">
        <v>96</v>
      </c>
      <c r="B19" s="1" t="s">
        <v>99</v>
      </c>
      <c r="C19" s="1" t="s">
        <v>75</v>
      </c>
      <c r="D19" s="1" t="s">
        <v>80</v>
      </c>
      <c r="E19" s="1" t="s">
        <v>77</v>
      </c>
      <c r="F19" s="32">
        <f>Finansial!C10</f>
        <v>-1350000</v>
      </c>
      <c r="G19" s="32">
        <f>Finansial!D10</f>
        <v>-1687500</v>
      </c>
      <c r="H19" s="32">
        <f>Finansial!E10</f>
        <v>-1968750</v>
      </c>
      <c r="I19" s="32">
        <f>Finansial!F10</f>
        <v>-2193750</v>
      </c>
      <c r="J19" s="32">
        <f>Finansial!G10</f>
        <v>-2475000</v>
      </c>
    </row>
    <row r="20" spans="1:10">
      <c r="A20" s="12" t="s">
        <v>96</v>
      </c>
      <c r="B20" s="12" t="s">
        <v>99</v>
      </c>
      <c r="C20" s="12" t="s">
        <v>75</v>
      </c>
      <c r="D20" s="12" t="s">
        <v>81</v>
      </c>
      <c r="E20" s="12" t="s">
        <v>77</v>
      </c>
      <c r="F20" s="31">
        <f>Finansial!C11</f>
        <v>3510740</v>
      </c>
      <c r="G20" s="31">
        <f>Finansial!D11</f>
        <v>3842458</v>
      </c>
      <c r="H20" s="31">
        <f>Finansial!E11</f>
        <v>4145600</v>
      </c>
      <c r="I20" s="31">
        <f>Finansial!F11</f>
        <v>4380143.75</v>
      </c>
      <c r="J20" s="31">
        <f>Finansial!G11</f>
        <v>5194125</v>
      </c>
    </row>
    <row r="21" spans="1:10">
      <c r="A21" s="1" t="s">
        <v>96</v>
      </c>
      <c r="B21" s="1" t="s">
        <v>99</v>
      </c>
      <c r="C21" s="1" t="s">
        <v>75</v>
      </c>
      <c r="D21" s="1" t="s">
        <v>82</v>
      </c>
      <c r="E21" s="1" t="s">
        <v>77</v>
      </c>
      <c r="F21" s="32">
        <f>Finansial!C12</f>
        <v>-1000000</v>
      </c>
      <c r="G21" s="32">
        <f>Finansial!D12</f>
        <v>-1150000</v>
      </c>
      <c r="H21" s="32">
        <f>Finansial!E12</f>
        <v>-1300000</v>
      </c>
      <c r="I21" s="32">
        <f>Finansial!F12</f>
        <v>-1500000</v>
      </c>
      <c r="J21" s="32">
        <f>Finansial!G12</f>
        <v>-1750000</v>
      </c>
    </row>
    <row r="22" spans="1:10">
      <c r="A22" s="12" t="s">
        <v>96</v>
      </c>
      <c r="B22" s="12" t="s">
        <v>99</v>
      </c>
      <c r="C22" s="12" t="s">
        <v>75</v>
      </c>
      <c r="D22" s="12" t="s">
        <v>83</v>
      </c>
      <c r="E22" s="12" t="s">
        <v>77</v>
      </c>
      <c r="F22" s="31">
        <f>Finansial!C13</f>
        <v>2510740</v>
      </c>
      <c r="G22" s="31">
        <f>Finansial!D13</f>
        <v>2692458</v>
      </c>
      <c r="H22" s="31">
        <f>Finansial!E13</f>
        <v>2845600</v>
      </c>
      <c r="I22" s="31">
        <f>Finansial!F13</f>
        <v>2880143.75</v>
      </c>
      <c r="J22" s="31">
        <f>Finansial!G13</f>
        <v>3444125</v>
      </c>
    </row>
    <row r="23" spans="1:10">
      <c r="A23" s="1" t="s">
        <v>96</v>
      </c>
      <c r="B23" s="1" t="s">
        <v>99</v>
      </c>
      <c r="C23" s="1" t="s">
        <v>75</v>
      </c>
      <c r="D23" s="1" t="s">
        <v>84</v>
      </c>
      <c r="E23" s="1" t="s">
        <v>77</v>
      </c>
      <c r="F23" s="32">
        <f>Finansial!C14</f>
        <v>-150000</v>
      </c>
      <c r="G23" s="32">
        <f>Finansial!D14</f>
        <v>-175000</v>
      </c>
      <c r="H23" s="32">
        <f>Finansial!E14</f>
        <v>-200000</v>
      </c>
      <c r="I23" s="32">
        <f>Finansial!F14</f>
        <v>-225000</v>
      </c>
      <c r="J23" s="32">
        <f>Finansial!G14</f>
        <v>-250000</v>
      </c>
    </row>
    <row r="24" spans="1:10">
      <c r="A24" s="12" t="s">
        <v>96</v>
      </c>
      <c r="B24" s="12" t="s">
        <v>99</v>
      </c>
      <c r="C24" s="12" t="s">
        <v>75</v>
      </c>
      <c r="D24" s="12" t="s">
        <v>85</v>
      </c>
      <c r="E24" s="12" t="s">
        <v>77</v>
      </c>
      <c r="F24" s="31">
        <f>Finansial!C15</f>
        <v>2360740</v>
      </c>
      <c r="G24" s="31">
        <f>Finansial!D15</f>
        <v>2517458</v>
      </c>
      <c r="H24" s="31">
        <f>Finansial!E15</f>
        <v>2645600</v>
      </c>
      <c r="I24" s="31">
        <f>Finansial!F15</f>
        <v>2655143.75</v>
      </c>
      <c r="J24" s="31">
        <f>Finansial!G15</f>
        <v>3194125</v>
      </c>
    </row>
    <row r="25" spans="1:10">
      <c r="A25" s="1" t="s">
        <v>96</v>
      </c>
      <c r="B25" s="1" t="s">
        <v>99</v>
      </c>
      <c r="C25" s="1" t="s">
        <v>75</v>
      </c>
      <c r="D25" s="1" t="s">
        <v>86</v>
      </c>
      <c r="E25" s="1" t="s">
        <v>77</v>
      </c>
      <c r="F25" s="32">
        <f>Finansial!C16</f>
        <v>-519362.8</v>
      </c>
      <c r="G25" s="32">
        <f>Finansial!D16</f>
        <v>-553840.76</v>
      </c>
      <c r="H25" s="32">
        <f>Finansial!E16</f>
        <v>-582032</v>
      </c>
      <c r="I25" s="32">
        <f>Finansial!F16</f>
        <v>-584131.625</v>
      </c>
      <c r="J25" s="32">
        <f>Finansial!G16</f>
        <v>-702707.5</v>
      </c>
    </row>
    <row r="26" spans="1:10">
      <c r="A26" s="12" t="s">
        <v>96</v>
      </c>
      <c r="B26" s="12" t="s">
        <v>99</v>
      </c>
      <c r="C26" s="12" t="s">
        <v>75</v>
      </c>
      <c r="D26" s="12" t="s">
        <v>87</v>
      </c>
      <c r="E26" s="12" t="s">
        <v>77</v>
      </c>
      <c r="F26" s="31">
        <f>Finansial!C17</f>
        <v>1841377.2</v>
      </c>
      <c r="G26" s="31">
        <f>Finansial!D17</f>
        <v>1963617.24</v>
      </c>
      <c r="H26" s="31">
        <f>Finansial!E17</f>
        <v>2063568</v>
      </c>
      <c r="I26" s="31">
        <f>Finansial!F17</f>
        <v>2071012.125</v>
      </c>
      <c r="J26" s="31">
        <f>Finansial!G17</f>
        <v>2491417.5</v>
      </c>
    </row>
    <row r="27" spans="1:10">
      <c r="A27" s="1" t="s">
        <v>96</v>
      </c>
      <c r="B27" s="1" t="s">
        <v>99</v>
      </c>
      <c r="C27" s="1" t="s">
        <v>75</v>
      </c>
      <c r="D27" s="1" t="s">
        <v>88</v>
      </c>
      <c r="E27" s="1" t="s">
        <v>73</v>
      </c>
      <c r="F27" s="30">
        <f>Finansial!C18</f>
        <v>0.39621295738279194</v>
      </c>
      <c r="G27" s="30">
        <f>Finansial!D18</f>
        <v>0.36490724844296624</v>
      </c>
      <c r="H27" s="30">
        <f>Finansial!E18</f>
        <v>0.3422057312195867</v>
      </c>
      <c r="I27" s="30">
        <f>Finansial!F18</f>
        <v>0.32268881948482908</v>
      </c>
      <c r="J27" s="30">
        <f>Finansial!G18</f>
        <v>0.32323633054071083</v>
      </c>
    </row>
    <row r="28" spans="1:10">
      <c r="A28" s="12" t="s">
        <v>96</v>
      </c>
      <c r="B28" s="12" t="s">
        <v>99</v>
      </c>
      <c r="C28" s="12" t="s">
        <v>75</v>
      </c>
      <c r="D28" s="12" t="s">
        <v>89</v>
      </c>
      <c r="E28" s="12" t="s">
        <v>73</v>
      </c>
      <c r="F28" s="33">
        <f>Finansial!C19</f>
        <v>0.2078130269029449</v>
      </c>
      <c r="G28" s="33">
        <f>Finansial!D19</f>
        <v>0.1864791141617089</v>
      </c>
      <c r="H28" s="33">
        <f>Finansial!E19</f>
        <v>0.17034079418210635</v>
      </c>
      <c r="I28" s="33">
        <f>Finansial!F19</f>
        <v>0.15257317930604841</v>
      </c>
      <c r="J28" s="33">
        <f>Finansial!G19</f>
        <v>0.15504375627173228</v>
      </c>
    </row>
    <row r="29" spans="1:10">
      <c r="A29" s="1" t="s">
        <v>96</v>
      </c>
      <c r="B29" s="1" t="s">
        <v>99</v>
      </c>
      <c r="C29" s="1" t="s">
        <v>90</v>
      </c>
      <c r="D29" s="1" t="s">
        <v>91</v>
      </c>
      <c r="E29" s="1" t="s">
        <v>77</v>
      </c>
      <c r="F29" s="32">
        <f>Finansial!C22</f>
        <v>3800000</v>
      </c>
      <c r="G29" s="32">
        <f>Finansial!D22</f>
        <v>4600000</v>
      </c>
      <c r="H29" s="32">
        <f>Finansial!E22</f>
        <v>5550000</v>
      </c>
      <c r="I29" s="32">
        <f>Finansial!F22</f>
        <v>6400000</v>
      </c>
      <c r="J29" s="32">
        <f>Finansial!G22</f>
        <v>7250000</v>
      </c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i:0#.f|membership|achindranata@microsoft.com</cp:lastModifiedBy>
  <cp:revision/>
  <dcterms:created xsi:type="dcterms:W3CDTF">2026-10-27T06:52:32Z</dcterms:created>
  <dcterms:modified xsi:type="dcterms:W3CDTF">2026-10-27T06:54:41Z</dcterms:modified>
  <cp:category/>
  <cp:contentStatus/>
</cp:coreProperties>
</file>