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105" documentId="11_C0AD03C342DF8C75CF381EDAE032060B66CFF049" xr6:coauthVersionLast="47" xr6:coauthVersionMax="47" xr10:uidLastSave="{55651576-5CCD-4897-B6F2-0C053536E5AC}"/>
  <bookViews>
    <workbookView xWindow="0" yWindow="0" windowWidth="0" windowHeight="0" xr2:uid="{00000000-000D-0000-FFFF-FFFF00000000}"/>
  </bookViews>
  <sheets>
    <sheet name="README" sheetId="1" r:id="rId1"/>
    <sheet name="Key Assumptions" sheetId="2" r:id="rId2"/>
    <sheet name="Operasional" sheetId="3" r:id="rId3"/>
    <sheet name="Finansial" sheetId="4" r:id="rId4"/>
    <sheet name="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5" l="1"/>
  <c r="I42" i="5"/>
  <c r="H42" i="5"/>
  <c r="G42" i="5"/>
  <c r="F42" i="5"/>
  <c r="J41" i="5"/>
  <c r="I41" i="5"/>
  <c r="H41" i="5"/>
  <c r="G41" i="5"/>
  <c r="F41" i="5"/>
  <c r="J40" i="5"/>
  <c r="I40" i="5"/>
  <c r="H40" i="5"/>
  <c r="G40" i="5"/>
  <c r="F40" i="5"/>
  <c r="J39" i="5"/>
  <c r="I39" i="5"/>
  <c r="H39" i="5"/>
  <c r="G39" i="5"/>
  <c r="F39" i="5"/>
  <c r="J38" i="5"/>
  <c r="I38" i="5"/>
  <c r="H38" i="5"/>
  <c r="G38" i="5"/>
  <c r="F38" i="5"/>
  <c r="J37" i="5"/>
  <c r="I37" i="5"/>
  <c r="H37" i="5"/>
  <c r="G37" i="5"/>
  <c r="F37" i="5"/>
  <c r="J36" i="5"/>
  <c r="I36" i="5"/>
  <c r="H36" i="5"/>
  <c r="G36" i="5"/>
  <c r="F36" i="5"/>
  <c r="J35" i="5"/>
  <c r="I35" i="5"/>
  <c r="H35" i="5"/>
  <c r="G35" i="5"/>
  <c r="F35" i="5"/>
  <c r="J34" i="5"/>
  <c r="I34" i="5"/>
  <c r="H34" i="5"/>
  <c r="G34" i="5"/>
  <c r="F34" i="5"/>
  <c r="J33" i="5"/>
  <c r="I33" i="5"/>
  <c r="H33" i="5"/>
  <c r="G33" i="5"/>
  <c r="F33" i="5"/>
  <c r="J32" i="5"/>
  <c r="I32" i="5"/>
  <c r="H32" i="5"/>
  <c r="G32" i="5"/>
  <c r="F32" i="5"/>
  <c r="J31" i="5"/>
  <c r="I31" i="5"/>
  <c r="H31" i="5"/>
  <c r="G31" i="5"/>
  <c r="F31" i="5"/>
  <c r="J30" i="5"/>
  <c r="I30" i="5"/>
  <c r="H30" i="5"/>
  <c r="G30" i="5"/>
  <c r="F30" i="5"/>
  <c r="J29" i="5"/>
  <c r="I29" i="5"/>
  <c r="H29" i="5"/>
  <c r="G29" i="5"/>
  <c r="F29" i="5"/>
  <c r="J28" i="5"/>
  <c r="I28" i="5"/>
  <c r="H28" i="5"/>
  <c r="G28" i="5"/>
  <c r="F28" i="5"/>
  <c r="J27" i="5"/>
  <c r="I27" i="5"/>
  <c r="H27" i="5"/>
  <c r="G27" i="5"/>
  <c r="F27" i="5"/>
  <c r="J26" i="5"/>
  <c r="I26" i="5"/>
  <c r="H26" i="5"/>
  <c r="G26" i="5"/>
  <c r="F26" i="5"/>
  <c r="J25" i="5"/>
  <c r="I25" i="5"/>
  <c r="H25" i="5"/>
  <c r="G25" i="5"/>
  <c r="F25" i="5"/>
  <c r="J24" i="5"/>
  <c r="I24" i="5"/>
  <c r="H24" i="5"/>
  <c r="G24" i="5"/>
  <c r="F24" i="5"/>
  <c r="J23" i="5"/>
  <c r="I23" i="5"/>
  <c r="H23" i="5"/>
  <c r="G23" i="5"/>
  <c r="F23" i="5"/>
  <c r="J22" i="5"/>
  <c r="I22" i="5"/>
  <c r="H22" i="5"/>
  <c r="G22" i="5"/>
  <c r="F22" i="5"/>
  <c r="J21" i="5"/>
  <c r="I21" i="5"/>
  <c r="H21" i="5"/>
  <c r="G21" i="5"/>
  <c r="F21" i="5"/>
  <c r="J20" i="5"/>
  <c r="I20" i="5"/>
  <c r="H20" i="5"/>
  <c r="G20" i="5"/>
  <c r="F20" i="5"/>
  <c r="J19" i="5"/>
  <c r="I19" i="5"/>
  <c r="H19" i="5"/>
  <c r="G19" i="5"/>
  <c r="F19" i="5"/>
  <c r="J18" i="5"/>
  <c r="I18" i="5"/>
  <c r="H18" i="5"/>
  <c r="G18" i="5"/>
  <c r="F18" i="5"/>
  <c r="J17" i="5"/>
  <c r="I17" i="5"/>
  <c r="H17" i="5"/>
  <c r="G17" i="5"/>
  <c r="F17" i="5"/>
  <c r="J16" i="5"/>
  <c r="I16" i="5"/>
  <c r="H16" i="5"/>
  <c r="G16" i="5"/>
  <c r="F16" i="5"/>
  <c r="J15" i="5"/>
  <c r="I15" i="5"/>
  <c r="H15" i="5"/>
  <c r="G15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11" i="5"/>
  <c r="I11" i="5"/>
  <c r="H11" i="5"/>
  <c r="G11" i="5"/>
  <c r="F11" i="5"/>
  <c r="J10" i="5"/>
  <c r="I10" i="5"/>
  <c r="H10" i="5"/>
  <c r="G10" i="5"/>
  <c r="F10" i="5"/>
  <c r="J9" i="5"/>
  <c r="I9" i="5"/>
  <c r="H9" i="5"/>
  <c r="G9" i="5"/>
  <c r="F9" i="5"/>
  <c r="J8" i="5"/>
  <c r="I8" i="5"/>
  <c r="H8" i="5"/>
  <c r="G8" i="5"/>
  <c r="F8" i="5"/>
  <c r="J7" i="5"/>
  <c r="I7" i="5"/>
  <c r="H7" i="5"/>
  <c r="G7" i="5"/>
  <c r="F7" i="5"/>
  <c r="J6" i="5"/>
  <c r="I6" i="5"/>
  <c r="H6" i="5"/>
  <c r="G6" i="5"/>
  <c r="F6" i="5"/>
  <c r="J5" i="5"/>
  <c r="I5" i="5"/>
  <c r="H5" i="5"/>
  <c r="G5" i="5"/>
  <c r="F5" i="5"/>
  <c r="J4" i="5"/>
  <c r="I4" i="5"/>
  <c r="H4" i="5"/>
  <c r="G4" i="5"/>
  <c r="F4" i="5"/>
  <c r="J3" i="5"/>
  <c r="I3" i="5"/>
  <c r="H3" i="5"/>
  <c r="G3" i="5"/>
  <c r="F3" i="5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2" i="4"/>
  <c r="F12" i="4"/>
  <c r="E12" i="4"/>
  <c r="D12" i="4"/>
  <c r="C12" i="4"/>
  <c r="G10" i="4"/>
  <c r="F10" i="4"/>
  <c r="E10" i="4"/>
  <c r="D10" i="4"/>
  <c r="C10" i="4"/>
  <c r="G8" i="4"/>
  <c r="F8" i="4"/>
  <c r="E8" i="4"/>
  <c r="D8" i="4"/>
  <c r="C8" i="4"/>
  <c r="G6" i="4"/>
  <c r="F6" i="4"/>
  <c r="E6" i="4"/>
  <c r="D6" i="4"/>
  <c r="C6" i="4"/>
  <c r="G27" i="3"/>
  <c r="F27" i="3"/>
  <c r="E27" i="3"/>
  <c r="D27" i="3"/>
  <c r="C27" i="3"/>
  <c r="G22" i="3"/>
  <c r="F22" i="3"/>
  <c r="E22" i="3"/>
  <c r="D22" i="3"/>
  <c r="C22" i="3"/>
  <c r="G18" i="3"/>
  <c r="F18" i="3"/>
  <c r="E18" i="3"/>
  <c r="D18" i="3"/>
  <c r="C18" i="3"/>
  <c r="G12" i="3"/>
  <c r="F12" i="3"/>
  <c r="E12" i="3"/>
  <c r="D12" i="3"/>
  <c r="C12" i="3"/>
  <c r="G6" i="3"/>
  <c r="F6" i="3"/>
  <c r="E6" i="3"/>
  <c r="D6" i="3"/>
  <c r="C6" i="3"/>
</calcChain>
</file>

<file path=xl/sharedStrings.xml><?xml version="1.0" encoding="utf-8"?>
<sst xmlns="http://schemas.openxmlformats.org/spreadsheetml/2006/main" count="369" uniqueCount="114">
  <si>
    <t>README — PT ABC Energy · RJPP 2026–2030 · Hilir (Downstream) · Middle Scenario</t>
  </si>
  <si>
    <t>Field</t>
  </si>
  <si>
    <t>Details</t>
  </si>
  <si>
    <t>Purpose</t>
  </si>
  <si>
    <t>Knowledge source for the Microsoft 365 Copilot agent "3C - RJPP Analyst" (SPPU SPARK Copilot training). All figures are dummy data for training purposes only.</t>
  </si>
  <si>
    <t>Company</t>
  </si>
  <si>
    <t>PT ABC Energy</t>
  </si>
  <si>
    <t>Plan</t>
  </si>
  <si>
    <t>RJPP 2026–2030 (Rencana Jangka Panjang Perusahaan — company long-term plan)</t>
  </si>
  <si>
    <t>Business line</t>
  </si>
  <si>
    <t>Hilir (Downstream — Refining &amp; Marketing)</t>
  </si>
  <si>
    <t>Scenario</t>
  </si>
  <si>
    <t>Middle</t>
  </si>
  <si>
    <t>Currency &amp; units</t>
  </si>
  <si>
    <t>Financials in USD thousands. Operational volumes in Juta BBL (million barrels); the unit is stated on every row. Prices in USD/bbl; exchange rate in IDR per USD.</t>
  </si>
  <si>
    <t>Source</t>
  </si>
  <si>
    <t>Refined from 4_BL_Hilir_RJPP_2026_2030_MiddleScenario_ABCEnergy_v1.xlsx</t>
  </si>
  <si>
    <t>Color legend</t>
  </si>
  <si>
    <t>Blue font = input value taken from the source; black font = formula; green font = link to another sheet; light-green fill = total / key row.</t>
  </si>
  <si>
    <t>Sheet map</t>
  </si>
  <si>
    <t>Sheet map: README</t>
  </si>
  <si>
    <t>This sheet — purpose, context, sheet map, changes from the source file and data notes.</t>
  </si>
  <si>
    <t>Sheet map: Key Assumptions</t>
  </si>
  <si>
    <t>Price assumptions (USD/bbl) for crude oil, intermedia and each product line, plus the USD/IDR exchange rate, 2026–2030.</t>
  </si>
  <si>
    <t>Sheet map: Operasional</t>
  </si>
  <si>
    <t>Refinery input, refinery output and sales volumes (Juta BBL) in five groups, each ending with a live total row, 2026–2030.</t>
  </si>
  <si>
    <t>Sheet map: Finansial</t>
  </si>
  <si>
    <t>Income statement (USD thousands) from Revenues to Net Income, EBITDA and net margins, the corporate tax rate input and CAPEX, 2026–2030.</t>
  </si>
  <si>
    <t>Sheet map: Data</t>
  </si>
  <si>
    <t>Flat Excel Table "Data_Hilir": one row per metric from Key Assumptions, Operasional and Finansial, linked by formulas, for search and scripts.</t>
  </si>
  <si>
    <t>Changes from the source file</t>
  </si>
  <si>
    <t>Change 1</t>
  </si>
  <si>
    <t>Fixed the title typo "Pejualan" → "Penjualan".</t>
  </si>
  <si>
    <t>Change 2</t>
  </si>
  <si>
    <t>Removed a stray unlabeled value (0.159) that sat beside the Gasoline sales row.</t>
  </si>
  <si>
    <t>Change 3</t>
  </si>
  <si>
    <t>Totals, subtotals and revenue are now live formulas.</t>
  </si>
  <si>
    <t>Change 4</t>
  </si>
  <si>
    <t>The balance sheet and cash-flow sections of the source were removed because they contained broken references (#REF!) and template placeholder values.</t>
  </si>
  <si>
    <t>Data notes / to confirm</t>
  </si>
  <si>
    <t>CAPEX</t>
  </si>
  <si>
    <t>CAPEX is 0 in every year in the source model — kept as stated, to be confirmed.</t>
  </si>
  <si>
    <t>Revenue method</t>
  </si>
  <si>
    <t>Revenues (USD thousands) = Σ product sales volume (Juta BBL) × product price (USD/bbl) × 1000, for Gasoline, Gasoil, Other Fuel, LPG, Petrokimia and Other Non-Fuel.</t>
  </si>
  <si>
    <t>Tax method</t>
  </si>
  <si>
    <t>Taxes = −Earnings Before Taxes × corporate tax rate (22%, input on the Finansial sheet).</t>
  </si>
  <si>
    <t>Key Assumptions — Prices &amp; Exchange Rate, Hilir RJPP 2026–2030 (Middle Scenario)</t>
  </si>
  <si>
    <t>Parameter</t>
  </si>
  <si>
    <t>Unit</t>
  </si>
  <si>
    <t>2026</t>
  </si>
  <si>
    <t>2027</t>
  </si>
  <si>
    <t>2028</t>
  </si>
  <si>
    <t>2029</t>
  </si>
  <si>
    <t>2030</t>
  </si>
  <si>
    <t>Oil Price (crude)</t>
  </si>
  <si>
    <t>USD/bbl</t>
  </si>
  <si>
    <t>Intermedia + Others</t>
  </si>
  <si>
    <t>Gasoline</t>
  </si>
  <si>
    <t>Gasoil</t>
  </si>
  <si>
    <t>Other Fuel</t>
  </si>
  <si>
    <t>LPG</t>
  </si>
  <si>
    <t>Petrokimia</t>
  </si>
  <si>
    <t>Other Non-Fuel</t>
  </si>
  <si>
    <t>Exchange rate USD/IDR</t>
  </si>
  <si>
    <t>IDR per USD</t>
  </si>
  <si>
    <t>Note: blue figures are inputs from the source model; product prices feed Revenues on the Finansial sheet.</t>
  </si>
  <si>
    <t>Operasional — Refinery Input, Output &amp; Penjualan (Sales) Volumes, Hilir RJPP 2026–2030 (Middle Scenario)</t>
  </si>
  <si>
    <t>Metric</t>
  </si>
  <si>
    <t>Refinery input (Input Kilang)</t>
  </si>
  <si>
    <t>Crude Oil</t>
  </si>
  <si>
    <t>Juta BBL</t>
  </si>
  <si>
    <t>Total Input Kilang</t>
  </si>
  <si>
    <t>Refinery output (Output Kilang)</t>
  </si>
  <si>
    <t>BBM</t>
  </si>
  <si>
    <t>Non-BBM</t>
  </si>
  <si>
    <t>Total Output Kilang</t>
  </si>
  <si>
    <t>Fuel sales (Penjualan BBM)</t>
  </si>
  <si>
    <t>Total Penjualan BBM</t>
  </si>
  <si>
    <t>LPG sales (Penjualan LPG)</t>
  </si>
  <si>
    <t>Total Penjualan LPG</t>
  </si>
  <si>
    <t>Non-fuel sales (Penjualan Non-BBM)</t>
  </si>
  <si>
    <t>Total Penjualan Non-BBM</t>
  </si>
  <si>
    <t>Finansial — Income Statement, Hilir RJPP 2026–2030 (Middle Scenario), USD thousands</t>
  </si>
  <si>
    <t>Assumptions</t>
  </si>
  <si>
    <t>Corporate tax rate</t>
  </si>
  <si>
    <t>%</t>
  </si>
  <si>
    <t>Line item</t>
  </si>
  <si>
    <t>Revenues</t>
  </si>
  <si>
    <t>USD thousands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</si>
  <si>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</si>
  <si>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</si>
  <si>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</si>
  <si>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</si>
  <si>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</si>
  <si>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</si>
  <si>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</si>
  <si>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</si>
  <si>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</t>
  </si>
  <si>
    <t>Net Income</t>
  </si>
  <si>
    <t>EBITDA margin</t>
  </si>
  <si>
    <t>Net margin</t>
  </si>
  <si>
    <t>Capital Expenditure</t>
  </si>
  <si>
    <t>Data — Flat table of all Hilir RJPP 2026–2030 metrics (Middle Scenario), linked to source sheets</t>
  </si>
  <si>
    <t>Business Line</t>
  </si>
  <si>
    <t>Sheet</t>
  </si>
  <si>
    <t>Section</t>
  </si>
  <si>
    <t>Hilir</t>
  </si>
  <si>
    <t>Key Assumptions</t>
  </si>
  <si>
    <t>Price assumptions</t>
  </si>
  <si>
    <t>Macro assumptions</t>
  </si>
  <si>
    <t>Operasional</t>
  </si>
  <si>
    <t>Finansial</t>
  </si>
  <si>
    <t>Income statement</t>
  </si>
  <si>
    <t>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</si>
</sst>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11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b/>
      <sz val="11"/>
      <color rgb="FF003E7E"/>
      <name val="Aptos"/>
    </font>
    <font>
      <b/>
      <sz val="14"/>
      <color rgb="FF003E7E"/>
      <name val="Aptos"/>
    </font>
    <font>
      <b/>
      <sz val="11"/>
      <color rgb="FFFFFFFF"/>
      <name val="Aptos"/>
    </font>
    <font>
      <sz val="11"/>
      <color rgb="FF0000FF"/>
      <name val="Aptos"/>
    </font>
    <font>
      <i/>
      <sz val="11"/>
      <color theme="1"/>
      <name val="Aptos"/>
    </font>
    <font>
      <i/>
      <sz val="11"/>
      <color rgb="FF595959"/>
      <name val="Aptos"/>
    </font>
    <font>
      <sz val="11"/>
      <color rgb="FF008000"/>
      <name val="Aptos"/>
    </font>
    <font>
      <b/>
      <sz val="11"/>
      <color rgb="FF008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3E7E"/>
        <bgColor indexed="64"/>
      </patternFill>
    </fill>
    <fill>
      <patternFill patternType="solid">
        <fgColor rgb="FFF3F7DF"/>
        <bgColor indexed="64"/>
      </patternFill>
    </fill>
    <fill>
      <patternFill patternType="solid">
        <fgColor rgb="FFEAF4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3E7E"/>
      </bottom>
      <diagonal/>
    </border>
    <border>
      <left/>
      <right/>
      <top style="thin">
        <color rgb="FF003E7E"/>
      </top>
      <bottom/>
      <diagonal/>
    </border>
    <border>
      <left/>
      <right/>
      <top style="thin">
        <color rgb="FF003E7E"/>
      </top>
      <bottom style="thin">
        <color rgb="FF003E7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0" xfId="0" quotePrefix="1" applyFont="1" applyFill="1" applyAlignment="1">
      <alignment horizontal="center" vertical="center" wrapText="1"/>
    </xf>
    <xf numFmtId="0" fontId="1" fillId="4" borderId="0" xfId="0" applyFont="1" applyFill="1"/>
    <xf numFmtId="4" fontId="6" fillId="0" borderId="0" xfId="0" applyNumberFormat="1" applyFont="1" applyAlignment="1">
      <alignment horizontal="right"/>
    </xf>
    <xf numFmtId="4" fontId="6" fillId="4" borderId="0" xfId="0" applyNumberFormat="1" applyFont="1" applyFill="1" applyAlignment="1">
      <alignment horizontal="right"/>
    </xf>
    <xf numFmtId="3" fontId="6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/>
    <xf numFmtId="4" fontId="1" fillId="0" borderId="0" xfId="0" applyNumberFormat="1" applyFont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2" fillId="3" borderId="0" xfId="0" applyFont="1" applyFill="1"/>
    <xf numFmtId="0" fontId="2" fillId="3" borderId="2" xfId="0" applyFont="1" applyFill="1" applyBorder="1"/>
    <xf numFmtId="4" fontId="2" fillId="3" borderId="2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right"/>
    </xf>
    <xf numFmtId="164" fontId="1" fillId="4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3" borderId="3" xfId="0" applyFont="1" applyFill="1" applyBorder="1"/>
    <xf numFmtId="165" fontId="2" fillId="3" borderId="3" xfId="0" applyNumberFormat="1" applyFont="1" applyFill="1" applyBorder="1" applyAlignment="1">
      <alignment horizontal="right"/>
    </xf>
    <xf numFmtId="0" fontId="7" fillId="4" borderId="0" xfId="0" applyFont="1" applyFill="1"/>
    <xf numFmtId="4" fontId="9" fillId="0" borderId="0" xfId="0" applyNumberFormat="1" applyFont="1" applyAlignment="1">
      <alignment horizontal="right"/>
    </xf>
    <xf numFmtId="4" fontId="9" fillId="4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4" fontId="10" fillId="3" borderId="0" xfId="0" applyNumberFormat="1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165" fontId="10" fillId="3" borderId="0" xfId="0" applyNumberFormat="1" applyFont="1" applyFill="1" applyAlignment="1">
      <alignment horizontal="right"/>
    </xf>
    <xf numFmtId="165" fontId="9" fillId="4" borderId="0" xfId="0" applyNumberFormat="1" applyFont="1" applyFill="1" applyAlignment="1">
      <alignment horizontal="right"/>
    </xf>
    <xf numFmtId="164" fontId="9" fillId="0" borderId="0" xfId="0" applyNumberFormat="1" applyFont="1" applyAlignment="1">
      <alignment horizontal="right"/>
    </xf>
  </cellXfs>
  <cellStyles count="1">
    <cellStyle name="Normal" xfId="0" builtinId="0"/>
  </cellStyles>
  <dxfs count="12"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color rgb="FF008000"/>
        <name val="Aptos"/>
      </font>
      <alignment horizontal="right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/>
        <color rgb="FFFFFFFF"/>
        <name val="Aptos"/>
      </font>
      <fill>
        <patternFill patternType="solid">
          <fgColor indexed="64"/>
          <bgColor rgb="FF003E7E"/>
        </patternFill>
      </fill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0D63-4649-48FC-B562-021AF5C3AC1C}" name="Data_Hilir" displayName="Data_Hilir" ref="A2:J42" totalsRowShown="0" headerRowDxfId="11" dataDxfId="10">
  <autoFilter ref="A2:J42" xr:uid="{1FDA0D63-4649-48FC-B562-021AF5C3AC1C}"/>
  <tableColumns count="10">
    <tableColumn id="1" xr3:uid="{8476CED9-0D84-4C64-B6B0-57E2E9ED98BA}" name="Business Line" dataDxfId="9"/>
    <tableColumn id="2" xr3:uid="{EEACE2B8-A1EA-4B98-A89B-D1CFAF9DA152}" name="Sheet" dataDxfId="8"/>
    <tableColumn id="3" xr3:uid="{290374B3-FB19-4BE7-B4B5-CACF875E5CE6}" name="Section" dataDxfId="7"/>
    <tableColumn id="4" xr3:uid="{33BE2D80-46C0-4BE3-BEB1-D11D332DC71C}" name="Metric" dataDxfId="6"/>
    <tableColumn id="5" xr3:uid="{E240960D-B0D0-4937-A9BE-4B6278F74DAB}" name="Unit" dataDxfId="5"/>
    <tableColumn id="6" xr3:uid="{AC399F24-C3FD-45BB-ABF5-6B31B8C7565D}" name="2026" dataDxfId="4"/>
    <tableColumn id="7" xr3:uid="{A18B3150-4434-41A8-8129-4924341116AC}" name="2027" dataDxfId="3"/>
    <tableColumn id="8" xr3:uid="{D99F1242-E6EF-4E93-A70A-C3C03EFAA6DD}" name="2028" dataDxfId="2"/>
    <tableColumn id="9" xr3:uid="{D159F465-84A4-4CFF-8D01-E67F861F2048}" name="2029" dataDxfId="1"/>
    <tableColumn id="10" xr3:uid="{767FA52F-C299-4FFC-B411-2CBAAA02E6CA}" name="203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10.7109375" customWidth="1"/>
  </cols>
  <sheetData>
    <row r="1" spans="1:2" ht="24" customHeight="1">
      <c r="A1" s="3" t="s">
        <v>0</v>
      </c>
      <c r="B1" s="3"/>
    </row>
    <row r="2" spans="1:2">
      <c r="A2" s="5" t="s">
        <v>1</v>
      </c>
      <c r="B2" s="5" t="s">
        <v>2</v>
      </c>
    </row>
    <row r="3" spans="1:2" ht="332.25">
      <c r="A3" s="7" t="s">
        <v>3</v>
      </c>
      <c r="B3" s="8" t="s">
        <v>4</v>
      </c>
    </row>
    <row r="4" spans="1:2" ht="29.25">
      <c r="A4" s="4" t="s">
        <v>5</v>
      </c>
      <c r="B4" s="2" t="s">
        <v>6</v>
      </c>
    </row>
    <row r="5" spans="1:2" ht="174">
      <c r="A5" s="7" t="s">
        <v>7</v>
      </c>
      <c r="B5" s="8" t="s">
        <v>8</v>
      </c>
    </row>
    <row r="6" spans="1:2" ht="101.25">
      <c r="A6" s="4" t="s">
        <v>9</v>
      </c>
      <c r="B6" s="2" t="s">
        <v>10</v>
      </c>
    </row>
    <row r="7" spans="1:2" ht="29.25">
      <c r="A7" s="7" t="s">
        <v>11</v>
      </c>
      <c r="B7" s="8" t="s">
        <v>12</v>
      </c>
    </row>
    <row r="8" spans="1:2" ht="303.75">
      <c r="A8" s="4" t="s">
        <v>13</v>
      </c>
      <c r="B8" s="2" t="s">
        <v>14</v>
      </c>
    </row>
    <row r="9" spans="1:2" ht="144.75">
      <c r="A9" s="7" t="s">
        <v>15</v>
      </c>
      <c r="B9" s="8" t="s">
        <v>16</v>
      </c>
    </row>
    <row r="10" spans="1:2" ht="260.25">
      <c r="A10" s="4" t="s">
        <v>17</v>
      </c>
      <c r="B10" s="2" t="s">
        <v>18</v>
      </c>
    </row>
    <row r="11" spans="1:2" ht="29.25">
      <c r="A11" s="6" t="s">
        <v>19</v>
      </c>
      <c r="B11" s="6"/>
    </row>
    <row r="12" spans="1:2" ht="174">
      <c r="A12" s="4" t="s">
        <v>20</v>
      </c>
      <c r="B12" s="2" t="s">
        <v>21</v>
      </c>
    </row>
    <row r="13" spans="1:2" ht="260.25">
      <c r="A13" s="7" t="s">
        <v>22</v>
      </c>
      <c r="B13" s="8" t="s">
        <v>23</v>
      </c>
    </row>
    <row r="14" spans="1:2" ht="260.25">
      <c r="A14" s="4" t="s">
        <v>24</v>
      </c>
      <c r="B14" s="2" t="s">
        <v>25</v>
      </c>
    </row>
    <row r="15" spans="1:2" ht="274.5">
      <c r="A15" s="7" t="s">
        <v>26</v>
      </c>
      <c r="B15" s="8" t="s">
        <v>27</v>
      </c>
    </row>
    <row r="16" spans="1:2" ht="288.75">
      <c r="A16" s="4" t="s">
        <v>28</v>
      </c>
      <c r="B16" s="2" t="s">
        <v>29</v>
      </c>
    </row>
    <row r="17" spans="1:2" ht="72.75">
      <c r="A17" s="6" t="s">
        <v>30</v>
      </c>
      <c r="B17" s="6"/>
    </row>
    <row r="18" spans="1:2" ht="87">
      <c r="A18" s="4" t="s">
        <v>31</v>
      </c>
      <c r="B18" s="2" t="s">
        <v>32</v>
      </c>
    </row>
    <row r="19" spans="1:2" ht="159">
      <c r="A19" s="7" t="s">
        <v>33</v>
      </c>
      <c r="B19" s="8" t="s">
        <v>34</v>
      </c>
    </row>
    <row r="20" spans="1:2" ht="115.5">
      <c r="A20" s="4" t="s">
        <v>35</v>
      </c>
      <c r="B20" s="2" t="s">
        <v>36</v>
      </c>
    </row>
    <row r="21" spans="1:2" ht="332.25">
      <c r="A21" s="7" t="s">
        <v>37</v>
      </c>
      <c r="B21" s="8" t="s">
        <v>38</v>
      </c>
    </row>
    <row r="22" spans="1:2" ht="57.75">
      <c r="A22" s="6" t="s">
        <v>39</v>
      </c>
      <c r="B22" s="6"/>
    </row>
    <row r="23" spans="1:2" ht="174">
      <c r="A23" s="4" t="s">
        <v>40</v>
      </c>
      <c r="B23" s="2" t="s">
        <v>41</v>
      </c>
    </row>
    <row r="24" spans="1:2" ht="346.5">
      <c r="A24" s="7" t="s">
        <v>42</v>
      </c>
      <c r="B24" s="8" t="s">
        <v>43</v>
      </c>
    </row>
    <row r="25" spans="1:2" ht="159">
      <c r="A25" s="4" t="s">
        <v>44</v>
      </c>
      <c r="B25" s="2" t="s">
        <v>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6FD-E8AA-4969-B787-AAC5A1112075}">
  <dimension ref="A1:G1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7" width="12.7109375" customWidth="1"/>
  </cols>
  <sheetData>
    <row r="1" spans="1:7" ht="24" customHeight="1">
      <c r="A1" s="9" t="s">
        <v>46</v>
      </c>
      <c r="B1" s="9"/>
      <c r="C1" s="9"/>
      <c r="D1" s="9"/>
      <c r="E1" s="9"/>
      <c r="F1" s="9"/>
      <c r="G1" s="9"/>
    </row>
    <row r="2" spans="1:7" ht="29.25">
      <c r="A2" s="5" t="s">
        <v>47</v>
      </c>
      <c r="B2" s="5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</row>
    <row r="3" spans="1:7">
      <c r="A3" s="1" t="s">
        <v>54</v>
      </c>
      <c r="B3" s="1" t="s">
        <v>55</v>
      </c>
      <c r="C3" s="12">
        <v>70</v>
      </c>
      <c r="D3" s="12">
        <v>75</v>
      </c>
      <c r="E3" s="12">
        <v>80</v>
      </c>
      <c r="F3" s="12">
        <v>85</v>
      </c>
      <c r="G3" s="12">
        <v>90</v>
      </c>
    </row>
    <row r="4" spans="1:7">
      <c r="A4" s="11" t="s">
        <v>56</v>
      </c>
      <c r="B4" s="11" t="s">
        <v>55</v>
      </c>
      <c r="C4" s="13">
        <v>60</v>
      </c>
      <c r="D4" s="13">
        <v>65</v>
      </c>
      <c r="E4" s="13">
        <v>70</v>
      </c>
      <c r="F4" s="13">
        <v>75</v>
      </c>
      <c r="G4" s="13">
        <v>80</v>
      </c>
    </row>
    <row r="5" spans="1:7">
      <c r="A5" s="1" t="s">
        <v>57</v>
      </c>
      <c r="B5" s="1" t="s">
        <v>55</v>
      </c>
      <c r="C5" s="12">
        <v>80</v>
      </c>
      <c r="D5" s="12">
        <v>86</v>
      </c>
      <c r="E5" s="12">
        <v>92</v>
      </c>
      <c r="F5" s="12">
        <v>98</v>
      </c>
      <c r="G5" s="12">
        <v>104</v>
      </c>
    </row>
    <row r="6" spans="1:7">
      <c r="A6" s="11" t="s">
        <v>58</v>
      </c>
      <c r="B6" s="11" t="s">
        <v>55</v>
      </c>
      <c r="C6" s="13">
        <v>85</v>
      </c>
      <c r="D6" s="13">
        <v>92</v>
      </c>
      <c r="E6" s="13">
        <v>99</v>
      </c>
      <c r="F6" s="13">
        <v>106</v>
      </c>
      <c r="G6" s="13">
        <v>113</v>
      </c>
    </row>
    <row r="7" spans="1:7">
      <c r="A7" s="1" t="s">
        <v>59</v>
      </c>
      <c r="B7" s="1" t="s">
        <v>55</v>
      </c>
      <c r="C7" s="12">
        <v>75</v>
      </c>
      <c r="D7" s="12">
        <v>80</v>
      </c>
      <c r="E7" s="12">
        <v>85</v>
      </c>
      <c r="F7" s="12">
        <v>90</v>
      </c>
      <c r="G7" s="12">
        <v>95</v>
      </c>
    </row>
    <row r="8" spans="1:7">
      <c r="A8" s="11" t="s">
        <v>60</v>
      </c>
      <c r="B8" s="11" t="s">
        <v>55</v>
      </c>
      <c r="C8" s="13">
        <v>70</v>
      </c>
      <c r="D8" s="13">
        <v>75</v>
      </c>
      <c r="E8" s="13">
        <v>80</v>
      </c>
      <c r="F8" s="13">
        <v>85</v>
      </c>
      <c r="G8" s="13">
        <v>90</v>
      </c>
    </row>
    <row r="9" spans="1:7">
      <c r="A9" s="1" t="s">
        <v>61</v>
      </c>
      <c r="B9" s="1" t="s">
        <v>55</v>
      </c>
      <c r="C9" s="12">
        <v>95</v>
      </c>
      <c r="D9" s="12">
        <v>100</v>
      </c>
      <c r="E9" s="12">
        <v>105</v>
      </c>
      <c r="F9" s="12">
        <v>110</v>
      </c>
      <c r="G9" s="12">
        <v>115</v>
      </c>
    </row>
    <row r="10" spans="1:7">
      <c r="A10" s="11" t="s">
        <v>62</v>
      </c>
      <c r="B10" s="11" t="s">
        <v>55</v>
      </c>
      <c r="C10" s="13">
        <v>85</v>
      </c>
      <c r="D10" s="13">
        <v>90</v>
      </c>
      <c r="E10" s="13">
        <v>95</v>
      </c>
      <c r="F10" s="13">
        <v>100</v>
      </c>
      <c r="G10" s="13">
        <v>105</v>
      </c>
    </row>
    <row r="11" spans="1:7">
      <c r="A11" s="1" t="s">
        <v>63</v>
      </c>
      <c r="B11" s="1" t="s">
        <v>64</v>
      </c>
      <c r="C11" s="14">
        <v>16500</v>
      </c>
      <c r="D11" s="14">
        <v>17000</v>
      </c>
      <c r="E11" s="14">
        <v>17500</v>
      </c>
      <c r="F11" s="14">
        <v>18000</v>
      </c>
      <c r="G11" s="14">
        <v>18500</v>
      </c>
    </row>
    <row r="12" spans="1:7">
      <c r="A12" s="1"/>
      <c r="B12" s="1"/>
      <c r="C12" s="1"/>
      <c r="D12" s="1"/>
      <c r="E12" s="1"/>
      <c r="F12" s="1"/>
      <c r="G12" s="1"/>
    </row>
    <row r="13" spans="1:7">
      <c r="A13" s="16" t="s">
        <v>65</v>
      </c>
      <c r="B13" s="16"/>
      <c r="C13" s="16"/>
      <c r="D13" s="16"/>
      <c r="E13" s="16"/>
      <c r="F13" s="16"/>
      <c r="G13" s="16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C9F1-54CA-4493-A87A-B16E146A5E6D}">
  <dimension ref="A1:G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6.7109375" customWidth="1"/>
    <col min="2" max="7" width="12.7109375" customWidth="1"/>
  </cols>
  <sheetData>
    <row r="1" spans="1:7" ht="24" customHeight="1">
      <c r="A1" s="9" t="s">
        <v>66</v>
      </c>
      <c r="B1" s="9"/>
      <c r="C1" s="9"/>
      <c r="D1" s="9"/>
      <c r="E1" s="9"/>
      <c r="F1" s="9"/>
      <c r="G1" s="9"/>
    </row>
    <row r="2" spans="1:7">
      <c r="A2" s="5" t="s">
        <v>67</v>
      </c>
      <c r="B2" s="5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</row>
    <row r="3" spans="1:7">
      <c r="A3" s="18" t="s">
        <v>68</v>
      </c>
      <c r="B3" s="18"/>
      <c r="C3" s="19"/>
      <c r="D3" s="19"/>
      <c r="E3" s="19"/>
      <c r="F3" s="19"/>
      <c r="G3" s="19"/>
    </row>
    <row r="4" spans="1:7">
      <c r="A4" s="1" t="s">
        <v>69</v>
      </c>
      <c r="B4" s="1" t="s">
        <v>70</v>
      </c>
      <c r="C4" s="12">
        <v>326.842105</v>
      </c>
      <c r="D4" s="12">
        <v>345.78947399999998</v>
      </c>
      <c r="E4" s="12">
        <v>364.73684200000002</v>
      </c>
      <c r="F4" s="12">
        <v>383.684211</v>
      </c>
      <c r="G4" s="12">
        <v>402.63157899999999</v>
      </c>
    </row>
    <row r="5" spans="1:7">
      <c r="A5" s="11" t="s">
        <v>56</v>
      </c>
      <c r="B5" s="11" t="s">
        <v>70</v>
      </c>
      <c r="C5" s="13">
        <v>36.315789000000002</v>
      </c>
      <c r="D5" s="13">
        <v>38.421053000000001</v>
      </c>
      <c r="E5" s="13">
        <v>40.526316000000001</v>
      </c>
      <c r="F5" s="13">
        <v>42.631579000000002</v>
      </c>
      <c r="G5" s="13">
        <v>44.736842000000003</v>
      </c>
    </row>
    <row r="6" spans="1:7">
      <c r="A6" s="21" t="s">
        <v>71</v>
      </c>
      <c r="B6" s="21" t="s">
        <v>70</v>
      </c>
      <c r="C6" s="22">
        <f>SUM(C4:C5)</f>
        <v>363.157894</v>
      </c>
      <c r="D6" s="22">
        <f>SUM(D4:D5)</f>
        <v>384.21052699999996</v>
      </c>
      <c r="E6" s="22">
        <f>SUM(E4:E5)</f>
        <v>405.26315800000003</v>
      </c>
      <c r="F6" s="22">
        <f>SUM(F4:F5)</f>
        <v>426.31578999999999</v>
      </c>
      <c r="G6" s="22">
        <f>SUM(G4:G5)</f>
        <v>447.36842100000001</v>
      </c>
    </row>
    <row r="7" spans="1:7">
      <c r="A7" s="1"/>
      <c r="B7" s="1"/>
      <c r="C7" s="17"/>
      <c r="D7" s="17"/>
      <c r="E7" s="17"/>
      <c r="F7" s="17"/>
      <c r="G7" s="17"/>
    </row>
    <row r="8" spans="1:7">
      <c r="A8" s="18" t="s">
        <v>72</v>
      </c>
      <c r="B8" s="18"/>
      <c r="C8" s="19"/>
      <c r="D8" s="19"/>
      <c r="E8" s="19"/>
      <c r="F8" s="19"/>
      <c r="G8" s="19"/>
    </row>
    <row r="9" spans="1:7">
      <c r="A9" s="1" t="s">
        <v>73</v>
      </c>
      <c r="B9" s="1" t="s">
        <v>70</v>
      </c>
      <c r="C9" s="12">
        <v>300</v>
      </c>
      <c r="D9" s="12">
        <v>315</v>
      </c>
      <c r="E9" s="12">
        <v>330</v>
      </c>
      <c r="F9" s="12">
        <v>345</v>
      </c>
      <c r="G9" s="12">
        <v>360</v>
      </c>
    </row>
    <row r="10" spans="1:7">
      <c r="A10" s="11" t="s">
        <v>60</v>
      </c>
      <c r="B10" s="11" t="s">
        <v>70</v>
      </c>
      <c r="C10" s="13">
        <v>10</v>
      </c>
      <c r="D10" s="13">
        <v>12</v>
      </c>
      <c r="E10" s="13">
        <v>14</v>
      </c>
      <c r="F10" s="13">
        <v>16</v>
      </c>
      <c r="G10" s="13">
        <v>18</v>
      </c>
    </row>
    <row r="11" spans="1:7">
      <c r="A11" s="1" t="s">
        <v>74</v>
      </c>
      <c r="B11" s="1" t="s">
        <v>70</v>
      </c>
      <c r="C11" s="12">
        <v>35</v>
      </c>
      <c r="D11" s="12">
        <v>38</v>
      </c>
      <c r="E11" s="12">
        <v>41</v>
      </c>
      <c r="F11" s="12">
        <v>44</v>
      </c>
      <c r="G11" s="12">
        <v>47</v>
      </c>
    </row>
    <row r="12" spans="1:7">
      <c r="A12" s="21" t="s">
        <v>75</v>
      </c>
      <c r="B12" s="21" t="s">
        <v>70</v>
      </c>
      <c r="C12" s="22">
        <f>SUM(C9:C11)</f>
        <v>345</v>
      </c>
      <c r="D12" s="22">
        <f>SUM(D9:D11)</f>
        <v>365</v>
      </c>
      <c r="E12" s="22">
        <f>SUM(E9:E11)</f>
        <v>385</v>
      </c>
      <c r="F12" s="22">
        <f>SUM(F9:F11)</f>
        <v>405</v>
      </c>
      <c r="G12" s="22">
        <f>SUM(G9:G11)</f>
        <v>425</v>
      </c>
    </row>
    <row r="13" spans="1:7">
      <c r="A13" s="1"/>
      <c r="B13" s="1"/>
      <c r="C13" s="17"/>
      <c r="D13" s="17"/>
      <c r="E13" s="17"/>
      <c r="F13" s="17"/>
      <c r="G13" s="17"/>
    </row>
    <row r="14" spans="1:7">
      <c r="A14" s="18" t="s">
        <v>76</v>
      </c>
      <c r="B14" s="18"/>
      <c r="C14" s="19"/>
      <c r="D14" s="19"/>
      <c r="E14" s="19"/>
      <c r="F14" s="19"/>
      <c r="G14" s="19"/>
    </row>
    <row r="15" spans="1:7">
      <c r="A15" s="1" t="s">
        <v>57</v>
      </c>
      <c r="B15" s="1" t="s">
        <v>70</v>
      </c>
      <c r="C15" s="12">
        <v>150</v>
      </c>
      <c r="D15" s="12">
        <v>157.5</v>
      </c>
      <c r="E15" s="12">
        <v>165</v>
      </c>
      <c r="F15" s="12">
        <v>172.5</v>
      </c>
      <c r="G15" s="12">
        <v>180</v>
      </c>
    </row>
    <row r="16" spans="1:7">
      <c r="A16" s="11" t="s">
        <v>58</v>
      </c>
      <c r="B16" s="11" t="s">
        <v>70</v>
      </c>
      <c r="C16" s="13">
        <v>90</v>
      </c>
      <c r="D16" s="13">
        <v>94.5</v>
      </c>
      <c r="E16" s="13">
        <v>99</v>
      </c>
      <c r="F16" s="13">
        <v>103.5</v>
      </c>
      <c r="G16" s="13">
        <v>108</v>
      </c>
    </row>
    <row r="17" spans="1:7">
      <c r="A17" s="1" t="s">
        <v>59</v>
      </c>
      <c r="B17" s="1" t="s">
        <v>70</v>
      </c>
      <c r="C17" s="12">
        <v>60</v>
      </c>
      <c r="D17" s="12">
        <v>63</v>
      </c>
      <c r="E17" s="12">
        <v>66</v>
      </c>
      <c r="F17" s="12">
        <v>69</v>
      </c>
      <c r="G17" s="12">
        <v>72</v>
      </c>
    </row>
    <row r="18" spans="1:7">
      <c r="A18" s="21" t="s">
        <v>77</v>
      </c>
      <c r="B18" s="21" t="s">
        <v>70</v>
      </c>
      <c r="C18" s="22">
        <f>SUM(C15:C17)</f>
        <v>300</v>
      </c>
      <c r="D18" s="22">
        <f>SUM(D15:D17)</f>
        <v>315</v>
      </c>
      <c r="E18" s="22">
        <f>SUM(E15:E17)</f>
        <v>330</v>
      </c>
      <c r="F18" s="22">
        <f>SUM(F15:F17)</f>
        <v>345</v>
      </c>
      <c r="G18" s="22">
        <f>SUM(G15:G17)</f>
        <v>360</v>
      </c>
    </row>
    <row r="19" spans="1:7">
      <c r="A19" s="1"/>
      <c r="B19" s="1"/>
      <c r="C19" s="17"/>
      <c r="D19" s="17"/>
      <c r="E19" s="17"/>
      <c r="F19" s="17"/>
      <c r="G19" s="17"/>
    </row>
    <row r="20" spans="1:7">
      <c r="A20" s="18" t="s">
        <v>78</v>
      </c>
      <c r="B20" s="18"/>
      <c r="C20" s="19"/>
      <c r="D20" s="19"/>
      <c r="E20" s="19"/>
      <c r="F20" s="19"/>
      <c r="G20" s="19"/>
    </row>
    <row r="21" spans="1:7">
      <c r="A21" s="1" t="s">
        <v>60</v>
      </c>
      <c r="B21" s="1" t="s">
        <v>70</v>
      </c>
      <c r="C21" s="12">
        <v>10</v>
      </c>
      <c r="D21" s="12">
        <v>12</v>
      </c>
      <c r="E21" s="12">
        <v>14</v>
      </c>
      <c r="F21" s="12">
        <v>16</v>
      </c>
      <c r="G21" s="12">
        <v>18</v>
      </c>
    </row>
    <row r="22" spans="1:7">
      <c r="A22" s="21" t="s">
        <v>79</v>
      </c>
      <c r="B22" s="21" t="s">
        <v>70</v>
      </c>
      <c r="C22" s="22">
        <f>SUM(C21:C21)</f>
        <v>10</v>
      </c>
      <c r="D22" s="22">
        <f>SUM(D21:D21)</f>
        <v>12</v>
      </c>
      <c r="E22" s="22">
        <f>SUM(E21:E21)</f>
        <v>14</v>
      </c>
      <c r="F22" s="22">
        <f>SUM(F21:F21)</f>
        <v>16</v>
      </c>
      <c r="G22" s="22">
        <f>SUM(G21:G21)</f>
        <v>18</v>
      </c>
    </row>
    <row r="23" spans="1:7">
      <c r="A23" s="1"/>
      <c r="B23" s="1"/>
      <c r="C23" s="17"/>
      <c r="D23" s="17"/>
      <c r="E23" s="17"/>
      <c r="F23" s="17"/>
      <c r="G23" s="17"/>
    </row>
    <row r="24" spans="1:7">
      <c r="A24" s="18" t="s">
        <v>80</v>
      </c>
      <c r="B24" s="18"/>
      <c r="C24" s="19"/>
      <c r="D24" s="19"/>
      <c r="E24" s="19"/>
      <c r="F24" s="19"/>
      <c r="G24" s="19"/>
    </row>
    <row r="25" spans="1:7">
      <c r="A25" s="1" t="s">
        <v>61</v>
      </c>
      <c r="B25" s="1" t="s">
        <v>70</v>
      </c>
      <c r="C25" s="12">
        <v>28</v>
      </c>
      <c r="D25" s="12">
        <v>30.4</v>
      </c>
      <c r="E25" s="12">
        <v>32.799999999999997</v>
      </c>
      <c r="F25" s="12">
        <v>35.200000000000003</v>
      </c>
      <c r="G25" s="12">
        <v>37.6</v>
      </c>
    </row>
    <row r="26" spans="1:7">
      <c r="A26" s="11" t="s">
        <v>62</v>
      </c>
      <c r="B26" s="11" t="s">
        <v>70</v>
      </c>
      <c r="C26" s="13">
        <v>7</v>
      </c>
      <c r="D26" s="13">
        <v>7.6</v>
      </c>
      <c r="E26" s="13">
        <v>8.1999999999999993</v>
      </c>
      <c r="F26" s="13">
        <v>8.8000000000000007</v>
      </c>
      <c r="G26" s="13">
        <v>9.4</v>
      </c>
    </row>
    <row r="27" spans="1:7">
      <c r="A27" s="21" t="s">
        <v>81</v>
      </c>
      <c r="B27" s="21" t="s">
        <v>70</v>
      </c>
      <c r="C27" s="22">
        <f>SUM(C25:C26)</f>
        <v>35</v>
      </c>
      <c r="D27" s="22">
        <f>SUM(D25:D26)</f>
        <v>38</v>
      </c>
      <c r="E27" s="22">
        <f>SUM(E25:E26)</f>
        <v>41</v>
      </c>
      <c r="F27" s="22">
        <f>SUM(F25:F26)</f>
        <v>44</v>
      </c>
      <c r="G27" s="22">
        <f>SUM(G25:G26)</f>
        <v>47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22CD-15D6-40FA-BC8B-7A05FC2C8060}">
  <dimension ref="A1:G2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2" width="15.7109375" customWidth="1"/>
    <col min="3" max="7" width="14.7109375" customWidth="1"/>
  </cols>
  <sheetData>
    <row r="1" spans="1:7" ht="24" customHeight="1">
      <c r="A1" s="9" t="s">
        <v>82</v>
      </c>
      <c r="B1" s="9"/>
      <c r="C1" s="9"/>
      <c r="D1" s="9"/>
      <c r="E1" s="9"/>
      <c r="F1" s="9"/>
      <c r="G1" s="9"/>
    </row>
    <row r="2" spans="1:7">
      <c r="A2" s="18" t="s">
        <v>83</v>
      </c>
      <c r="B2" s="18"/>
      <c r="C2" s="18"/>
      <c r="D2" s="1"/>
      <c r="E2" s="1"/>
      <c r="F2" s="1"/>
      <c r="G2" s="1"/>
    </row>
    <row r="3" spans="1:7">
      <c r="A3" s="1" t="s">
        <v>84</v>
      </c>
      <c r="B3" s="1" t="s">
        <v>85</v>
      </c>
      <c r="C3" s="23">
        <v>0.22</v>
      </c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 ht="29.25">
      <c r="A5" s="5" t="s">
        <v>86</v>
      </c>
      <c r="B5" s="5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</row>
    <row r="6" spans="1:7">
      <c r="A6" s="20" t="s">
        <v>87</v>
      </c>
      <c r="B6" s="20" t="s">
        <v>88</v>
      </c>
      <c r="C6" s="29">
        <f>(Operasional!C15*'Key Assumptions'!C5+Operasional!C16*'Key Assumptions'!C6+Operasional!C17*'Key Assumptions'!C7+Operasional!C21*'Key Assumptions'!C8+Operasional!C25*'Key Assumptions'!C9+Operasional!C26*'Key Assumptions'!C10)*1000</f>
        <v>28105000</v>
      </c>
      <c r="D6" s="29">
        <f>(Operasional!D15*'Key Assumptions'!D5+Operasional!D16*'Key Assumptions'!D6+Operasional!D17*'Key Assumptions'!D7+Operasional!D21*'Key Assumptions'!D8+Operasional!D25*'Key Assumptions'!D9+Operasional!D26*'Key Assumptions'!D10)*1000</f>
        <v>31903000</v>
      </c>
      <c r="E6" s="29">
        <f>(Operasional!E15*'Key Assumptions'!E5+Operasional!E16*'Key Assumptions'!E6+Operasional!E17*'Key Assumptions'!E7+Operasional!E21*'Key Assumptions'!E8+Operasional!E25*'Key Assumptions'!E9+Operasional!E26*'Key Assumptions'!E10)*1000</f>
        <v>35934000</v>
      </c>
      <c r="F6" s="29">
        <f>(Operasional!F15*'Key Assumptions'!F5+Operasional!F16*'Key Assumptions'!F6+Operasional!F17*'Key Assumptions'!F7+Operasional!F21*'Key Assumptions'!F8+Operasional!F25*'Key Assumptions'!F9+Operasional!F26*'Key Assumptions'!F10)*1000</f>
        <v>40198000</v>
      </c>
      <c r="G6" s="29">
        <f>(Operasional!G15*'Key Assumptions'!G5+Operasional!G16*'Key Assumptions'!G6+Operasional!G17*'Key Assumptions'!G7+Operasional!G21*'Key Assumptions'!G8+Operasional!G25*'Key Assumptions'!G9+Operasional!G26*'Key Assumptions'!G10)*1000</f>
        <v>44695000</v>
      </c>
    </row>
    <row r="7" spans="1:7">
      <c r="A7" s="11" t="s">
        <v>89</v>
      </c>
      <c r="B7" s="11" t="s">
        <v>88</v>
      </c>
      <c r="C7" s="26">
        <v>-25809631.578947</v>
      </c>
      <c r="D7" s="26">
        <v>-29284526.315788999</v>
      </c>
      <c r="E7" s="26">
        <v>-32976263.157894999</v>
      </c>
      <c r="F7" s="26">
        <v>-36884842.105263002</v>
      </c>
      <c r="G7" s="26">
        <v>-41010263.157894999</v>
      </c>
    </row>
    <row r="8" spans="1:7">
      <c r="A8" s="20" t="s">
        <v>90</v>
      </c>
      <c r="B8" s="20" t="s">
        <v>88</v>
      </c>
      <c r="C8" s="29">
        <f>C6+C7</f>
        <v>2295368.4210529998</v>
      </c>
      <c r="D8" s="29">
        <f>D6+D7</f>
        <v>2618473.6842110008</v>
      </c>
      <c r="E8" s="29">
        <f>E6+E7</f>
        <v>2957736.8421050012</v>
      </c>
      <c r="F8" s="29">
        <f>F6+F7</f>
        <v>3313157.8947369978</v>
      </c>
      <c r="G8" s="29">
        <f>G6+G7</f>
        <v>3684736.8421050012</v>
      </c>
    </row>
    <row r="9" spans="1:7">
      <c r="A9" s="11" t="s">
        <v>91</v>
      </c>
      <c r="B9" s="11" t="s">
        <v>88</v>
      </c>
      <c r="C9" s="26">
        <v>-1000000</v>
      </c>
      <c r="D9" s="26">
        <v>-1100000</v>
      </c>
      <c r="E9" s="26">
        <v>-1200000</v>
      </c>
      <c r="F9" s="26">
        <v>-1300000</v>
      </c>
      <c r="G9" s="26">
        <v>-1400000</v>
      </c>
    </row>
    <row r="10" spans="1:7">
      <c r="A10" s="20" t="s">
        <v>92</v>
      </c>
      <c r="B10" s="20" t="s">
        <v>88</v>
      </c>
      <c r="C10" s="29">
        <f>C8+C9</f>
        <v>1295368.4210529998</v>
      </c>
      <c r="D10" s="29">
        <f>D8+D9</f>
        <v>1518473.6842110008</v>
      </c>
      <c r="E10" s="29">
        <f>E8+E9</f>
        <v>1757736.8421050012</v>
      </c>
      <c r="F10" s="29">
        <f>F8+F9</f>
        <v>2013157.8947369978</v>
      </c>
      <c r="G10" s="29">
        <f>G8+G9</f>
        <v>2284736.8421050012</v>
      </c>
    </row>
    <row r="11" spans="1:7">
      <c r="A11" s="11" t="s">
        <v>93</v>
      </c>
      <c r="B11" s="11" t="s">
        <v>88</v>
      </c>
      <c r="C11" s="26">
        <v>-500000</v>
      </c>
      <c r="D11" s="26">
        <v>-550000</v>
      </c>
      <c r="E11" s="26">
        <v>-600000</v>
      </c>
      <c r="F11" s="26">
        <v>-650000</v>
      </c>
      <c r="G11" s="26">
        <v>-700000</v>
      </c>
    </row>
    <row r="12" spans="1:7">
      <c r="A12" s="20" t="s">
        <v>94</v>
      </c>
      <c r="B12" s="20" t="s">
        <v>88</v>
      </c>
      <c r="C12" s="29">
        <f>C10+C11</f>
        <v>795368.42105299979</v>
      </c>
      <c r="D12" s="29">
        <f>D10+D11</f>
        <v>968473.6842110008</v>
      </c>
      <c r="E12" s="29">
        <f>E10+E11</f>
        <v>1157736.8421050012</v>
      </c>
      <c r="F12" s="29">
        <f>F10+F11</f>
        <v>1363157.8947369978</v>
      </c>
      <c r="G12" s="29">
        <f>G10+G11</f>
        <v>1584736.8421050012</v>
      </c>
    </row>
    <row r="13" spans="1:7">
      <c r="A13" s="11" t="s">
        <v>95</v>
      </c>
      <c r="B13" s="11" t="s">
        <v>88</v>
      </c>
      <c r="C13" s="26">
        <v>-100000</v>
      </c>
      <c r="D13" s="26">
        <v>-110000</v>
      </c>
      <c r="E13" s="26">
        <v>-120000</v>
      </c>
      <c r="F13" s="26">
        <v>-130000</v>
      </c>
      <c r="G13" s="26">
        <v>-140000</v>
      </c>
    </row>
    <row r="14" spans="1:7">
      <c r="A14" s="20" t="s">
        <v>96</v>
      </c>
      <c r="B14" s="20" t="s">
        <v>88</v>
      </c>
      <c r="C14" s="29">
        <f>C12+C13</f>
        <v>695368.42105299979</v>
      </c>
      <c r="D14" s="29">
        <f>D12+D13</f>
        <v>858473.6842110008</v>
      </c>
      <c r="E14" s="29">
        <f>E12+E13</f>
        <v>1037736.8421050012</v>
      </c>
      <c r="F14" s="29">
        <f>F12+F13</f>
        <v>1233157.8947369978</v>
      </c>
      <c r="G14" s="29">
        <f>G12+G13</f>
        <v>1444736.8421050012</v>
      </c>
    </row>
    <row r="15" spans="1:7">
      <c r="A15" s="11" t="s">
        <v>97</v>
      </c>
      <c r="B15" s="11" t="s">
        <v>88</v>
      </c>
      <c r="C15" s="27">
        <f>-C14*$C$3</f>
        <v>-152981.05263165996</v>
      </c>
      <c r="D15" s="27">
        <f>-D14*$C$3</f>
        <v>-188864.21052642018</v>
      </c>
      <c r="E15" s="27">
        <f>-E14*$C$3</f>
        <v>-228302.10526310027</v>
      </c>
      <c r="F15" s="27">
        <f>-F14*$C$3</f>
        <v>-271294.73684213951</v>
      </c>
      <c r="G15" s="27">
        <f>-G14*$C$3</f>
        <v>-317842.1052631003</v>
      </c>
    </row>
    <row r="16" spans="1:7">
      <c r="A16" s="30" t="s">
        <v>98</v>
      </c>
      <c r="B16" s="30" t="s">
        <v>88</v>
      </c>
      <c r="C16" s="31">
        <f>C14+C15</f>
        <v>542387.3684213399</v>
      </c>
      <c r="D16" s="31">
        <f>D14+D15</f>
        <v>669609.47368458065</v>
      </c>
      <c r="E16" s="31">
        <f>E14+E15</f>
        <v>809434.73684190097</v>
      </c>
      <c r="F16" s="31">
        <f>F14+F15</f>
        <v>961863.15789485828</v>
      </c>
      <c r="G16" s="31">
        <f>G14+G15</f>
        <v>1126894.736841901</v>
      </c>
    </row>
    <row r="17" spans="1:7">
      <c r="A17" s="15" t="s">
        <v>99</v>
      </c>
      <c r="B17" s="15" t="s">
        <v>85</v>
      </c>
      <c r="C17" s="24">
        <f>IF(C6=0,0,C10/C6)</f>
        <v>4.6090319197758398E-2</v>
      </c>
      <c r="D17" s="24">
        <f>IF(D6=0,0,D10/D6)</f>
        <v>4.7596579764003409E-2</v>
      </c>
      <c r="E17" s="24">
        <f>IF(E6=0,0,E10/E6)</f>
        <v>4.8915702179134005E-2</v>
      </c>
      <c r="F17" s="24">
        <f>IF(F6=0,0,F10/F6)</f>
        <v>5.0081046189785504E-2</v>
      </c>
      <c r="G17" s="24">
        <f>IF(G6=0,0,G10/G6)</f>
        <v>5.1118398973151388E-2</v>
      </c>
    </row>
    <row r="18" spans="1:7">
      <c r="A18" s="32" t="s">
        <v>100</v>
      </c>
      <c r="B18" s="32" t="s">
        <v>85</v>
      </c>
      <c r="C18" s="28">
        <f>IF(C6=0,0,C16/C6)</f>
        <v>1.9298607664875997E-2</v>
      </c>
      <c r="D18" s="28">
        <f>IF(D6=0,0,D16/D6)</f>
        <v>2.0988918712490381E-2</v>
      </c>
      <c r="E18" s="28">
        <f>IF(E6=0,0,E16/E6)</f>
        <v>2.2525595170086853E-2</v>
      </c>
      <c r="F18" s="28">
        <f>IF(F6=0,0,F16/F6)</f>
        <v>2.3928134680701981E-2</v>
      </c>
      <c r="G18" s="28">
        <f>IF(G6=0,0,G16/G6)</f>
        <v>2.5212993329050252E-2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18" t="s">
        <v>101</v>
      </c>
      <c r="B20" s="18"/>
      <c r="C20" s="18"/>
      <c r="D20" s="18"/>
      <c r="E20" s="18"/>
      <c r="F20" s="18"/>
      <c r="G20" s="18"/>
    </row>
    <row r="21" spans="1:7">
      <c r="A21" s="1" t="s">
        <v>40</v>
      </c>
      <c r="B21" s="1" t="s">
        <v>88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2D5D-5925-4588-8D61-14E9300F816F}">
  <dimension ref="A1:J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35.7109375" customWidth="1"/>
    <col min="4" max="4" width="26.7109375" customWidth="1"/>
    <col min="5" max="5" width="15.7109375" customWidth="1"/>
    <col min="6" max="10" width="14.7109375" customWidth="1"/>
  </cols>
  <sheetData>
    <row r="1" spans="1:10" ht="24" customHeight="1">
      <c r="A1" s="9" t="s">
        <v>102</v>
      </c>
      <c r="B1" s="9"/>
      <c r="C1" s="9"/>
      <c r="D1" s="9"/>
      <c r="E1" s="9"/>
      <c r="F1" s="9"/>
      <c r="G1" s="9"/>
      <c r="H1" s="9"/>
      <c r="I1" s="9"/>
      <c r="J1" s="9"/>
    </row>
    <row r="2" spans="1:10" ht="29.25">
      <c r="A2" s="5" t="s">
        <v>103</v>
      </c>
      <c r="B2" s="5" t="s">
        <v>104</v>
      </c>
      <c r="C2" s="5" t="s">
        <v>105</v>
      </c>
      <c r="D2" s="5" t="s">
        <v>67</v>
      </c>
      <c r="E2" s="5" t="s">
        <v>48</v>
      </c>
      <c r="F2" s="10" t="s">
        <v>49</v>
      </c>
      <c r="G2" s="10" t="s">
        <v>50</v>
      </c>
      <c r="H2" s="10" t="s">
        <v>51</v>
      </c>
      <c r="I2" s="10" t="s">
        <v>52</v>
      </c>
      <c r="J2" s="10" t="s">
        <v>53</v>
      </c>
    </row>
    <row r="3" spans="1:10">
      <c r="A3" s="1" t="s">
        <v>106</v>
      </c>
      <c r="B3" s="1" t="s">
        <v>107</v>
      </c>
      <c r="C3" s="1" t="s">
        <v>108</v>
      </c>
      <c r="D3" s="1" t="s">
        <v>54</v>
      </c>
      <c r="E3" s="1" t="s">
        <v>55</v>
      </c>
      <c r="F3" s="33">
        <f>'Key Assumptions'!C3</f>
        <v>70</v>
      </c>
      <c r="G3" s="33">
        <f>'Key Assumptions'!D3</f>
        <v>75</v>
      </c>
      <c r="H3" s="33">
        <f>'Key Assumptions'!E3</f>
        <v>80</v>
      </c>
      <c r="I3" s="33">
        <f>'Key Assumptions'!F3</f>
        <v>85</v>
      </c>
      <c r="J3" s="33">
        <f>'Key Assumptions'!G3</f>
        <v>90</v>
      </c>
    </row>
    <row r="4" spans="1:10">
      <c r="A4" s="11" t="s">
        <v>106</v>
      </c>
      <c r="B4" s="11" t="s">
        <v>107</v>
      </c>
      <c r="C4" s="11" t="s">
        <v>108</v>
      </c>
      <c r="D4" s="11" t="s">
        <v>56</v>
      </c>
      <c r="E4" s="11" t="s">
        <v>55</v>
      </c>
      <c r="F4" s="34">
        <f>'Key Assumptions'!C4</f>
        <v>60</v>
      </c>
      <c r="G4" s="34">
        <f>'Key Assumptions'!D4</f>
        <v>65</v>
      </c>
      <c r="H4" s="34">
        <f>'Key Assumptions'!E4</f>
        <v>70</v>
      </c>
      <c r="I4" s="34">
        <f>'Key Assumptions'!F4</f>
        <v>75</v>
      </c>
      <c r="J4" s="34">
        <f>'Key Assumptions'!G4</f>
        <v>80</v>
      </c>
    </row>
    <row r="5" spans="1:10">
      <c r="A5" s="1" t="s">
        <v>106</v>
      </c>
      <c r="B5" s="1" t="s">
        <v>107</v>
      </c>
      <c r="C5" s="1" t="s">
        <v>108</v>
      </c>
      <c r="D5" s="1" t="s">
        <v>57</v>
      </c>
      <c r="E5" s="1" t="s">
        <v>55</v>
      </c>
      <c r="F5" s="33">
        <f>'Key Assumptions'!C5</f>
        <v>80</v>
      </c>
      <c r="G5" s="33">
        <f>'Key Assumptions'!D5</f>
        <v>86</v>
      </c>
      <c r="H5" s="33">
        <f>'Key Assumptions'!E5</f>
        <v>92</v>
      </c>
      <c r="I5" s="33">
        <f>'Key Assumptions'!F5</f>
        <v>98</v>
      </c>
      <c r="J5" s="33">
        <f>'Key Assumptions'!G5</f>
        <v>104</v>
      </c>
    </row>
    <row r="6" spans="1:10">
      <c r="A6" s="11" t="s">
        <v>106</v>
      </c>
      <c r="B6" s="11" t="s">
        <v>107</v>
      </c>
      <c r="C6" s="11" t="s">
        <v>108</v>
      </c>
      <c r="D6" s="11" t="s">
        <v>58</v>
      </c>
      <c r="E6" s="11" t="s">
        <v>55</v>
      </c>
      <c r="F6" s="34">
        <f>'Key Assumptions'!C6</f>
        <v>85</v>
      </c>
      <c r="G6" s="34">
        <f>'Key Assumptions'!D6</f>
        <v>92</v>
      </c>
      <c r="H6" s="34">
        <f>'Key Assumptions'!E6</f>
        <v>99</v>
      </c>
      <c r="I6" s="34">
        <f>'Key Assumptions'!F6</f>
        <v>106</v>
      </c>
      <c r="J6" s="34">
        <f>'Key Assumptions'!G6</f>
        <v>113</v>
      </c>
    </row>
    <row r="7" spans="1:10">
      <c r="A7" s="1" t="s">
        <v>106</v>
      </c>
      <c r="B7" s="1" t="s">
        <v>107</v>
      </c>
      <c r="C7" s="1" t="s">
        <v>108</v>
      </c>
      <c r="D7" s="1" t="s">
        <v>59</v>
      </c>
      <c r="E7" s="1" t="s">
        <v>55</v>
      </c>
      <c r="F7" s="33">
        <f>'Key Assumptions'!C7</f>
        <v>75</v>
      </c>
      <c r="G7" s="33">
        <f>'Key Assumptions'!D7</f>
        <v>80</v>
      </c>
      <c r="H7" s="33">
        <f>'Key Assumptions'!E7</f>
        <v>85</v>
      </c>
      <c r="I7" s="33">
        <f>'Key Assumptions'!F7</f>
        <v>90</v>
      </c>
      <c r="J7" s="33">
        <f>'Key Assumptions'!G7</f>
        <v>95</v>
      </c>
    </row>
    <row r="8" spans="1:10">
      <c r="A8" s="11" t="s">
        <v>106</v>
      </c>
      <c r="B8" s="11" t="s">
        <v>107</v>
      </c>
      <c r="C8" s="11" t="s">
        <v>108</v>
      </c>
      <c r="D8" s="11" t="s">
        <v>60</v>
      </c>
      <c r="E8" s="11" t="s">
        <v>55</v>
      </c>
      <c r="F8" s="34">
        <f>'Key Assumptions'!C8</f>
        <v>70</v>
      </c>
      <c r="G8" s="34">
        <f>'Key Assumptions'!D8</f>
        <v>75</v>
      </c>
      <c r="H8" s="34">
        <f>'Key Assumptions'!E8</f>
        <v>80</v>
      </c>
      <c r="I8" s="34">
        <f>'Key Assumptions'!F8</f>
        <v>85</v>
      </c>
      <c r="J8" s="34">
        <f>'Key Assumptions'!G8</f>
        <v>90</v>
      </c>
    </row>
    <row r="9" spans="1:10">
      <c r="A9" s="1" t="s">
        <v>106</v>
      </c>
      <c r="B9" s="1" t="s">
        <v>107</v>
      </c>
      <c r="C9" s="1" t="s">
        <v>108</v>
      </c>
      <c r="D9" s="1" t="s">
        <v>61</v>
      </c>
      <c r="E9" s="1" t="s">
        <v>55</v>
      </c>
      <c r="F9" s="33">
        <f>'Key Assumptions'!C9</f>
        <v>95</v>
      </c>
      <c r="G9" s="33">
        <f>'Key Assumptions'!D9</f>
        <v>100</v>
      </c>
      <c r="H9" s="33">
        <f>'Key Assumptions'!E9</f>
        <v>105</v>
      </c>
      <c r="I9" s="33">
        <f>'Key Assumptions'!F9</f>
        <v>110</v>
      </c>
      <c r="J9" s="33">
        <f>'Key Assumptions'!G9</f>
        <v>115</v>
      </c>
    </row>
    <row r="10" spans="1:10">
      <c r="A10" s="11" t="s">
        <v>106</v>
      </c>
      <c r="B10" s="11" t="s">
        <v>107</v>
      </c>
      <c r="C10" s="11" t="s">
        <v>108</v>
      </c>
      <c r="D10" s="11" t="s">
        <v>62</v>
      </c>
      <c r="E10" s="11" t="s">
        <v>55</v>
      </c>
      <c r="F10" s="34">
        <f>'Key Assumptions'!C10</f>
        <v>85</v>
      </c>
      <c r="G10" s="34">
        <f>'Key Assumptions'!D10</f>
        <v>90</v>
      </c>
      <c r="H10" s="34">
        <f>'Key Assumptions'!E10</f>
        <v>95</v>
      </c>
      <c r="I10" s="34">
        <f>'Key Assumptions'!F10</f>
        <v>100</v>
      </c>
      <c r="J10" s="34">
        <f>'Key Assumptions'!G10</f>
        <v>105</v>
      </c>
    </row>
    <row r="11" spans="1:10">
      <c r="A11" s="1" t="s">
        <v>106</v>
      </c>
      <c r="B11" s="1" t="s">
        <v>107</v>
      </c>
      <c r="C11" s="1" t="s">
        <v>109</v>
      </c>
      <c r="D11" s="1" t="s">
        <v>63</v>
      </c>
      <c r="E11" s="1" t="s">
        <v>64</v>
      </c>
      <c r="F11" s="35">
        <f>'Key Assumptions'!C11</f>
        <v>16500</v>
      </c>
      <c r="G11" s="35">
        <f>'Key Assumptions'!D11</f>
        <v>17000</v>
      </c>
      <c r="H11" s="35">
        <f>'Key Assumptions'!E11</f>
        <v>17500</v>
      </c>
      <c r="I11" s="35">
        <f>'Key Assumptions'!F11</f>
        <v>18000</v>
      </c>
      <c r="J11" s="35">
        <f>'Key Assumptions'!G11</f>
        <v>18500</v>
      </c>
    </row>
    <row r="12" spans="1:10">
      <c r="A12" s="11" t="s">
        <v>106</v>
      </c>
      <c r="B12" s="11" t="s">
        <v>110</v>
      </c>
      <c r="C12" s="11" t="s">
        <v>68</v>
      </c>
      <c r="D12" s="11" t="s">
        <v>69</v>
      </c>
      <c r="E12" s="11" t="s">
        <v>70</v>
      </c>
      <c r="F12" s="34">
        <f>Operasional!C4</f>
        <v>326.842105</v>
      </c>
      <c r="G12" s="34">
        <f>Operasional!D4</f>
        <v>345.78947399999998</v>
      </c>
      <c r="H12" s="34">
        <f>Operasional!E4</f>
        <v>364.73684200000002</v>
      </c>
      <c r="I12" s="34">
        <f>Operasional!F4</f>
        <v>383.684211</v>
      </c>
      <c r="J12" s="34">
        <f>Operasional!G4</f>
        <v>402.63157899999999</v>
      </c>
    </row>
    <row r="13" spans="1:10">
      <c r="A13" s="1" t="s">
        <v>106</v>
      </c>
      <c r="B13" s="1" t="s">
        <v>110</v>
      </c>
      <c r="C13" s="1" t="s">
        <v>68</v>
      </c>
      <c r="D13" s="1" t="s">
        <v>56</v>
      </c>
      <c r="E13" s="1" t="s">
        <v>70</v>
      </c>
      <c r="F13" s="33">
        <f>Operasional!C5</f>
        <v>36.315789000000002</v>
      </c>
      <c r="G13" s="33">
        <f>Operasional!D5</f>
        <v>38.421053000000001</v>
      </c>
      <c r="H13" s="33">
        <f>Operasional!E5</f>
        <v>40.526316000000001</v>
      </c>
      <c r="I13" s="33">
        <f>Operasional!F5</f>
        <v>42.631579000000002</v>
      </c>
      <c r="J13" s="33">
        <f>Operasional!G5</f>
        <v>44.736842000000003</v>
      </c>
    </row>
    <row r="14" spans="1:10">
      <c r="A14" s="20" t="s">
        <v>106</v>
      </c>
      <c r="B14" s="20" t="s">
        <v>110</v>
      </c>
      <c r="C14" s="20" t="s">
        <v>68</v>
      </c>
      <c r="D14" s="20" t="s">
        <v>71</v>
      </c>
      <c r="E14" s="20" t="s">
        <v>70</v>
      </c>
      <c r="F14" s="36">
        <f>Operasional!C6</f>
        <v>363.157894</v>
      </c>
      <c r="G14" s="36">
        <f>Operasional!D6</f>
        <v>384.21052699999996</v>
      </c>
      <c r="H14" s="36">
        <f>Operasional!E6</f>
        <v>405.26315800000003</v>
      </c>
      <c r="I14" s="36">
        <f>Operasional!F6</f>
        <v>426.31578999999999</v>
      </c>
      <c r="J14" s="36">
        <f>Operasional!G6</f>
        <v>447.36842100000001</v>
      </c>
    </row>
    <row r="15" spans="1:10">
      <c r="A15" s="1" t="s">
        <v>106</v>
      </c>
      <c r="B15" s="1" t="s">
        <v>110</v>
      </c>
      <c r="C15" s="1" t="s">
        <v>72</v>
      </c>
      <c r="D15" s="1" t="s">
        <v>73</v>
      </c>
      <c r="E15" s="1" t="s">
        <v>70</v>
      </c>
      <c r="F15" s="33">
        <f>Operasional!C9</f>
        <v>300</v>
      </c>
      <c r="G15" s="33">
        <f>Operasional!D9</f>
        <v>315</v>
      </c>
      <c r="H15" s="33">
        <f>Operasional!E9</f>
        <v>330</v>
      </c>
      <c r="I15" s="33">
        <f>Operasional!F9</f>
        <v>345</v>
      </c>
      <c r="J15" s="33">
        <f>Operasional!G9</f>
        <v>360</v>
      </c>
    </row>
    <row r="16" spans="1:10">
      <c r="A16" s="11" t="s">
        <v>106</v>
      </c>
      <c r="B16" s="11" t="s">
        <v>110</v>
      </c>
      <c r="C16" s="11" t="s">
        <v>72</v>
      </c>
      <c r="D16" s="11" t="s">
        <v>60</v>
      </c>
      <c r="E16" s="11" t="s">
        <v>70</v>
      </c>
      <c r="F16" s="34">
        <f>Operasional!C10</f>
        <v>10</v>
      </c>
      <c r="G16" s="34">
        <f>Operasional!D10</f>
        <v>12</v>
      </c>
      <c r="H16" s="34">
        <f>Operasional!E10</f>
        <v>14</v>
      </c>
      <c r="I16" s="34">
        <f>Operasional!F10</f>
        <v>16</v>
      </c>
      <c r="J16" s="34">
        <f>Operasional!G10</f>
        <v>18</v>
      </c>
    </row>
    <row r="17" spans="1:10">
      <c r="A17" s="1" t="s">
        <v>106</v>
      </c>
      <c r="B17" s="1" t="s">
        <v>110</v>
      </c>
      <c r="C17" s="1" t="s">
        <v>72</v>
      </c>
      <c r="D17" s="1" t="s">
        <v>74</v>
      </c>
      <c r="E17" s="1" t="s">
        <v>70</v>
      </c>
      <c r="F17" s="33">
        <f>Operasional!C11</f>
        <v>35</v>
      </c>
      <c r="G17" s="33">
        <f>Operasional!D11</f>
        <v>38</v>
      </c>
      <c r="H17" s="33">
        <f>Operasional!E11</f>
        <v>41</v>
      </c>
      <c r="I17" s="33">
        <f>Operasional!F11</f>
        <v>44</v>
      </c>
      <c r="J17" s="33">
        <f>Operasional!G11</f>
        <v>47</v>
      </c>
    </row>
    <row r="18" spans="1:10">
      <c r="A18" s="20" t="s">
        <v>106</v>
      </c>
      <c r="B18" s="20" t="s">
        <v>110</v>
      </c>
      <c r="C18" s="20" t="s">
        <v>72</v>
      </c>
      <c r="D18" s="20" t="s">
        <v>75</v>
      </c>
      <c r="E18" s="20" t="s">
        <v>70</v>
      </c>
      <c r="F18" s="36">
        <f>Operasional!C12</f>
        <v>345</v>
      </c>
      <c r="G18" s="36">
        <f>Operasional!D12</f>
        <v>365</v>
      </c>
      <c r="H18" s="36">
        <f>Operasional!E12</f>
        <v>385</v>
      </c>
      <c r="I18" s="36">
        <f>Operasional!F12</f>
        <v>405</v>
      </c>
      <c r="J18" s="36">
        <f>Operasional!G12</f>
        <v>425</v>
      </c>
    </row>
    <row r="19" spans="1:10">
      <c r="A19" s="1" t="s">
        <v>106</v>
      </c>
      <c r="B19" s="1" t="s">
        <v>110</v>
      </c>
      <c r="C19" s="1" t="s">
        <v>76</v>
      </c>
      <c r="D19" s="1" t="s">
        <v>57</v>
      </c>
      <c r="E19" s="1" t="s">
        <v>70</v>
      </c>
      <c r="F19" s="33">
        <f>Operasional!C15</f>
        <v>150</v>
      </c>
      <c r="G19" s="33">
        <f>Operasional!D15</f>
        <v>157.5</v>
      </c>
      <c r="H19" s="33">
        <f>Operasional!E15</f>
        <v>165</v>
      </c>
      <c r="I19" s="33">
        <f>Operasional!F15</f>
        <v>172.5</v>
      </c>
      <c r="J19" s="33">
        <f>Operasional!G15</f>
        <v>180</v>
      </c>
    </row>
    <row r="20" spans="1:10">
      <c r="A20" s="11" t="s">
        <v>106</v>
      </c>
      <c r="B20" s="11" t="s">
        <v>110</v>
      </c>
      <c r="C20" s="11" t="s">
        <v>76</v>
      </c>
      <c r="D20" s="11" t="s">
        <v>58</v>
      </c>
      <c r="E20" s="11" t="s">
        <v>70</v>
      </c>
      <c r="F20" s="34">
        <f>Operasional!C16</f>
        <v>90</v>
      </c>
      <c r="G20" s="34">
        <f>Operasional!D16</f>
        <v>94.5</v>
      </c>
      <c r="H20" s="34">
        <f>Operasional!E16</f>
        <v>99</v>
      </c>
      <c r="I20" s="34">
        <f>Operasional!F16</f>
        <v>103.5</v>
      </c>
      <c r="J20" s="34">
        <f>Operasional!G16</f>
        <v>108</v>
      </c>
    </row>
    <row r="21" spans="1:10">
      <c r="A21" s="1" t="s">
        <v>106</v>
      </c>
      <c r="B21" s="1" t="s">
        <v>110</v>
      </c>
      <c r="C21" s="1" t="s">
        <v>76</v>
      </c>
      <c r="D21" s="1" t="s">
        <v>59</v>
      </c>
      <c r="E21" s="1" t="s">
        <v>70</v>
      </c>
      <c r="F21" s="33">
        <f>Operasional!C17</f>
        <v>60</v>
      </c>
      <c r="G21" s="33">
        <f>Operasional!D17</f>
        <v>63</v>
      </c>
      <c r="H21" s="33">
        <f>Operasional!E17</f>
        <v>66</v>
      </c>
      <c r="I21" s="33">
        <f>Operasional!F17</f>
        <v>69</v>
      </c>
      <c r="J21" s="33">
        <f>Operasional!G17</f>
        <v>72</v>
      </c>
    </row>
    <row r="22" spans="1:10">
      <c r="A22" s="20" t="s">
        <v>106</v>
      </c>
      <c r="B22" s="20" t="s">
        <v>110</v>
      </c>
      <c r="C22" s="20" t="s">
        <v>76</v>
      </c>
      <c r="D22" s="20" t="s">
        <v>77</v>
      </c>
      <c r="E22" s="20" t="s">
        <v>70</v>
      </c>
      <c r="F22" s="36">
        <f>Operasional!C18</f>
        <v>300</v>
      </c>
      <c r="G22" s="36">
        <f>Operasional!D18</f>
        <v>315</v>
      </c>
      <c r="H22" s="36">
        <f>Operasional!E18</f>
        <v>330</v>
      </c>
      <c r="I22" s="36">
        <f>Operasional!F18</f>
        <v>345</v>
      </c>
      <c r="J22" s="36">
        <f>Operasional!G18</f>
        <v>360</v>
      </c>
    </row>
    <row r="23" spans="1:10">
      <c r="A23" s="1" t="s">
        <v>106</v>
      </c>
      <c r="B23" s="1" t="s">
        <v>110</v>
      </c>
      <c r="C23" s="1" t="s">
        <v>78</v>
      </c>
      <c r="D23" s="1" t="s">
        <v>60</v>
      </c>
      <c r="E23" s="1" t="s">
        <v>70</v>
      </c>
      <c r="F23" s="33">
        <f>Operasional!C21</f>
        <v>10</v>
      </c>
      <c r="G23" s="33">
        <f>Operasional!D21</f>
        <v>12</v>
      </c>
      <c r="H23" s="33">
        <f>Operasional!E21</f>
        <v>14</v>
      </c>
      <c r="I23" s="33">
        <f>Operasional!F21</f>
        <v>16</v>
      </c>
      <c r="J23" s="33">
        <f>Operasional!G21</f>
        <v>18</v>
      </c>
    </row>
    <row r="24" spans="1:10">
      <c r="A24" s="20" t="s">
        <v>106</v>
      </c>
      <c r="B24" s="20" t="s">
        <v>110</v>
      </c>
      <c r="C24" s="20" t="s">
        <v>78</v>
      </c>
      <c r="D24" s="20" t="s">
        <v>79</v>
      </c>
      <c r="E24" s="20" t="s">
        <v>70</v>
      </c>
      <c r="F24" s="36">
        <f>Operasional!C22</f>
        <v>10</v>
      </c>
      <c r="G24" s="36">
        <f>Operasional!D22</f>
        <v>12</v>
      </c>
      <c r="H24" s="36">
        <f>Operasional!E22</f>
        <v>14</v>
      </c>
      <c r="I24" s="36">
        <f>Operasional!F22</f>
        <v>16</v>
      </c>
      <c r="J24" s="36">
        <f>Operasional!G22</f>
        <v>18</v>
      </c>
    </row>
    <row r="25" spans="1:10">
      <c r="A25" s="1" t="s">
        <v>106</v>
      </c>
      <c r="B25" s="1" t="s">
        <v>110</v>
      </c>
      <c r="C25" s="1" t="s">
        <v>80</v>
      </c>
      <c r="D25" s="1" t="s">
        <v>61</v>
      </c>
      <c r="E25" s="1" t="s">
        <v>70</v>
      </c>
      <c r="F25" s="33">
        <f>Operasional!C25</f>
        <v>28</v>
      </c>
      <c r="G25" s="33">
        <f>Operasional!D25</f>
        <v>30.4</v>
      </c>
      <c r="H25" s="33">
        <f>Operasional!E25</f>
        <v>32.799999999999997</v>
      </c>
      <c r="I25" s="33">
        <f>Operasional!F25</f>
        <v>35.200000000000003</v>
      </c>
      <c r="J25" s="33">
        <f>Operasional!G25</f>
        <v>37.6</v>
      </c>
    </row>
    <row r="26" spans="1:10">
      <c r="A26" s="11" t="s">
        <v>106</v>
      </c>
      <c r="B26" s="11" t="s">
        <v>110</v>
      </c>
      <c r="C26" s="11" t="s">
        <v>80</v>
      </c>
      <c r="D26" s="11" t="s">
        <v>62</v>
      </c>
      <c r="E26" s="11" t="s">
        <v>70</v>
      </c>
      <c r="F26" s="34">
        <f>Operasional!C26</f>
        <v>7</v>
      </c>
      <c r="G26" s="34">
        <f>Operasional!D26</f>
        <v>7.6</v>
      </c>
      <c r="H26" s="34">
        <f>Operasional!E26</f>
        <v>8.1999999999999993</v>
      </c>
      <c r="I26" s="34">
        <f>Operasional!F26</f>
        <v>8.8000000000000007</v>
      </c>
      <c r="J26" s="34">
        <f>Operasional!G26</f>
        <v>9.4</v>
      </c>
    </row>
    <row r="27" spans="1:10">
      <c r="A27" s="20" t="s">
        <v>106</v>
      </c>
      <c r="B27" s="20" t="s">
        <v>110</v>
      </c>
      <c r="C27" s="20" t="s">
        <v>80</v>
      </c>
      <c r="D27" s="20" t="s">
        <v>81</v>
      </c>
      <c r="E27" s="20" t="s">
        <v>70</v>
      </c>
      <c r="F27" s="36">
        <f>Operasional!C27</f>
        <v>35</v>
      </c>
      <c r="G27" s="36">
        <f>Operasional!D27</f>
        <v>38</v>
      </c>
      <c r="H27" s="36">
        <f>Operasional!E27</f>
        <v>41</v>
      </c>
      <c r="I27" s="36">
        <f>Operasional!F27</f>
        <v>44</v>
      </c>
      <c r="J27" s="36">
        <f>Operasional!G27</f>
        <v>47</v>
      </c>
    </row>
    <row r="28" spans="1:10">
      <c r="A28" s="11" t="s">
        <v>106</v>
      </c>
      <c r="B28" s="11" t="s">
        <v>111</v>
      </c>
      <c r="C28" s="11" t="s">
        <v>83</v>
      </c>
      <c r="D28" s="11" t="s">
        <v>84</v>
      </c>
      <c r="E28" s="11" t="s">
        <v>85</v>
      </c>
      <c r="F28" s="37">
        <f>Finansial!$C$3</f>
        <v>0.22</v>
      </c>
      <c r="G28" s="37">
        <f>Finansial!$C$3</f>
        <v>0.22</v>
      </c>
      <c r="H28" s="37">
        <f>Finansial!$C$3</f>
        <v>0.22</v>
      </c>
      <c r="I28" s="37">
        <f>Finansial!$C$3</f>
        <v>0.22</v>
      </c>
      <c r="J28" s="37">
        <f>Finansial!$C$3</f>
        <v>0.22</v>
      </c>
    </row>
    <row r="29" spans="1:10">
      <c r="A29" s="20" t="s">
        <v>106</v>
      </c>
      <c r="B29" s="20" t="s">
        <v>111</v>
      </c>
      <c r="C29" s="20" t="s">
        <v>112</v>
      </c>
      <c r="D29" s="20" t="s">
        <v>87</v>
      </c>
      <c r="E29" s="20" t="s">
        <v>88</v>
      </c>
      <c r="F29" s="38">
        <f>Finansial!C6</f>
        <v>28105000</v>
      </c>
      <c r="G29" s="38">
        <f>Finansial!D6</f>
        <v>31903000</v>
      </c>
      <c r="H29" s="38">
        <f>Finansial!E6</f>
        <v>35934000</v>
      </c>
      <c r="I29" s="38">
        <f>Finansial!F6</f>
        <v>40198000</v>
      </c>
      <c r="J29" s="38">
        <f>Finansial!G6</f>
        <v>44695000</v>
      </c>
    </row>
    <row r="30" spans="1:10">
      <c r="A30" s="11" t="s">
        <v>106</v>
      </c>
      <c r="B30" s="11" t="s">
        <v>111</v>
      </c>
      <c r="C30" s="11" t="s">
        <v>112</v>
      </c>
      <c r="D30" s="11" t="s">
        <v>89</v>
      </c>
      <c r="E30" s="11" t="s">
        <v>88</v>
      </c>
      <c r="F30" s="39">
        <f>Finansial!C7</f>
        <v>-25809631.578947</v>
      </c>
      <c r="G30" s="39">
        <f>Finansial!D7</f>
        <v>-29284526.315788999</v>
      </c>
      <c r="H30" s="39">
        <f>Finansial!E7</f>
        <v>-32976263.157894999</v>
      </c>
      <c r="I30" s="39">
        <f>Finansial!F7</f>
        <v>-36884842.105263002</v>
      </c>
      <c r="J30" s="39">
        <f>Finansial!G7</f>
        <v>-41010263.157894999</v>
      </c>
    </row>
    <row r="31" spans="1:10">
      <c r="A31" s="20" t="s">
        <v>106</v>
      </c>
      <c r="B31" s="20" t="s">
        <v>111</v>
      </c>
      <c r="C31" s="20" t="s">
        <v>112</v>
      </c>
      <c r="D31" s="20" t="s">
        <v>90</v>
      </c>
      <c r="E31" s="20" t="s">
        <v>88</v>
      </c>
      <c r="F31" s="38">
        <f>Finansial!C8</f>
        <v>2295368.4210529998</v>
      </c>
      <c r="G31" s="38">
        <f>Finansial!D8</f>
        <v>2618473.6842110008</v>
      </c>
      <c r="H31" s="38">
        <f>Finansial!E8</f>
        <v>2957736.8421050012</v>
      </c>
      <c r="I31" s="38">
        <f>Finansial!F8</f>
        <v>3313157.8947369978</v>
      </c>
      <c r="J31" s="38">
        <f>Finansial!G8</f>
        <v>3684736.8421050012</v>
      </c>
    </row>
    <row r="32" spans="1:10">
      <c r="A32" s="11" t="s">
        <v>106</v>
      </c>
      <c r="B32" s="11" t="s">
        <v>111</v>
      </c>
      <c r="C32" s="11" t="s">
        <v>112</v>
      </c>
      <c r="D32" s="11" t="s">
        <v>91</v>
      </c>
      <c r="E32" s="11" t="s">
        <v>88</v>
      </c>
      <c r="F32" s="39">
        <f>Finansial!C9</f>
        <v>-1000000</v>
      </c>
      <c r="G32" s="39">
        <f>Finansial!D9</f>
        <v>-1100000</v>
      </c>
      <c r="H32" s="39">
        <f>Finansial!E9</f>
        <v>-1200000</v>
      </c>
      <c r="I32" s="39">
        <f>Finansial!F9</f>
        <v>-1300000</v>
      </c>
      <c r="J32" s="39">
        <f>Finansial!G9</f>
        <v>-1400000</v>
      </c>
    </row>
    <row r="33" spans="1:10">
      <c r="A33" s="20" t="s">
        <v>106</v>
      </c>
      <c r="B33" s="20" t="s">
        <v>111</v>
      </c>
      <c r="C33" s="20" t="s">
        <v>112</v>
      </c>
      <c r="D33" s="20" t="s">
        <v>92</v>
      </c>
      <c r="E33" s="20" t="s">
        <v>88</v>
      </c>
      <c r="F33" s="38">
        <f>Finansial!C10</f>
        <v>1295368.4210529998</v>
      </c>
      <c r="G33" s="38">
        <f>Finansial!D10</f>
        <v>1518473.6842110008</v>
      </c>
      <c r="H33" s="38">
        <f>Finansial!E10</f>
        <v>1757736.8421050012</v>
      </c>
      <c r="I33" s="38">
        <f>Finansial!F10</f>
        <v>2013157.8947369978</v>
      </c>
      <c r="J33" s="38">
        <f>Finansial!G10</f>
        <v>2284736.8421050012</v>
      </c>
    </row>
    <row r="34" spans="1:10">
      <c r="A34" s="11" t="s">
        <v>106</v>
      </c>
      <c r="B34" s="11" t="s">
        <v>111</v>
      </c>
      <c r="C34" s="11" t="s">
        <v>112</v>
      </c>
      <c r="D34" s="11" t="s">
        <v>93</v>
      </c>
      <c r="E34" s="11" t="s">
        <v>88</v>
      </c>
      <c r="F34" s="39">
        <f>Finansial!C11</f>
        <v>-500000</v>
      </c>
      <c r="G34" s="39">
        <f>Finansial!D11</f>
        <v>-550000</v>
      </c>
      <c r="H34" s="39">
        <f>Finansial!E11</f>
        <v>-600000</v>
      </c>
      <c r="I34" s="39">
        <f>Finansial!F11</f>
        <v>-650000</v>
      </c>
      <c r="J34" s="39">
        <f>Finansial!G11</f>
        <v>-700000</v>
      </c>
    </row>
    <row r="35" spans="1:10">
      <c r="A35" s="20" t="s">
        <v>106</v>
      </c>
      <c r="B35" s="20" t="s">
        <v>111</v>
      </c>
      <c r="C35" s="20" t="s">
        <v>112</v>
      </c>
      <c r="D35" s="20" t="s">
        <v>94</v>
      </c>
      <c r="E35" s="20" t="s">
        <v>88</v>
      </c>
      <c r="F35" s="38">
        <f>Finansial!C12</f>
        <v>795368.42105299979</v>
      </c>
      <c r="G35" s="38">
        <f>Finansial!D12</f>
        <v>968473.6842110008</v>
      </c>
      <c r="H35" s="38">
        <f>Finansial!E12</f>
        <v>1157736.8421050012</v>
      </c>
      <c r="I35" s="38">
        <f>Finansial!F12</f>
        <v>1363157.8947369978</v>
      </c>
      <c r="J35" s="38">
        <f>Finansial!G12</f>
        <v>1584736.8421050012</v>
      </c>
    </row>
    <row r="36" spans="1:10">
      <c r="A36" s="11" t="s">
        <v>106</v>
      </c>
      <c r="B36" s="11" t="s">
        <v>111</v>
      </c>
      <c r="C36" s="11" t="s">
        <v>112</v>
      </c>
      <c r="D36" s="11" t="s">
        <v>95</v>
      </c>
      <c r="E36" s="11" t="s">
        <v>88</v>
      </c>
      <c r="F36" s="39">
        <f>Finansial!C13</f>
        <v>-100000</v>
      </c>
      <c r="G36" s="39">
        <f>Finansial!D13</f>
        <v>-110000</v>
      </c>
      <c r="H36" s="39">
        <f>Finansial!E13</f>
        <v>-120000</v>
      </c>
      <c r="I36" s="39">
        <f>Finansial!F13</f>
        <v>-130000</v>
      </c>
      <c r="J36" s="39">
        <f>Finansial!G13</f>
        <v>-140000</v>
      </c>
    </row>
    <row r="37" spans="1:10">
      <c r="A37" s="20" t="s">
        <v>106</v>
      </c>
      <c r="B37" s="20" t="s">
        <v>111</v>
      </c>
      <c r="C37" s="20" t="s">
        <v>112</v>
      </c>
      <c r="D37" s="20" t="s">
        <v>96</v>
      </c>
      <c r="E37" s="20" t="s">
        <v>88</v>
      </c>
      <c r="F37" s="38">
        <f>Finansial!C14</f>
        <v>695368.42105299979</v>
      </c>
      <c r="G37" s="38">
        <f>Finansial!D14</f>
        <v>858473.6842110008</v>
      </c>
      <c r="H37" s="38">
        <f>Finansial!E14</f>
        <v>1037736.8421050012</v>
      </c>
      <c r="I37" s="38">
        <f>Finansial!F14</f>
        <v>1233157.8947369978</v>
      </c>
      <c r="J37" s="38">
        <f>Finansial!G14</f>
        <v>1444736.8421050012</v>
      </c>
    </row>
    <row r="38" spans="1:10">
      <c r="A38" s="11" t="s">
        <v>106</v>
      </c>
      <c r="B38" s="11" t="s">
        <v>111</v>
      </c>
      <c r="C38" s="11" t="s">
        <v>112</v>
      </c>
      <c r="D38" s="11" t="s">
        <v>97</v>
      </c>
      <c r="E38" s="11" t="s">
        <v>88</v>
      </c>
      <c r="F38" s="39">
        <f>Finansial!C15</f>
        <v>-152981.05263165996</v>
      </c>
      <c r="G38" s="39">
        <f>Finansial!D15</f>
        <v>-188864.21052642018</v>
      </c>
      <c r="H38" s="39">
        <f>Finansial!E15</f>
        <v>-228302.10526310027</v>
      </c>
      <c r="I38" s="39">
        <f>Finansial!F15</f>
        <v>-271294.73684213951</v>
      </c>
      <c r="J38" s="39">
        <f>Finansial!G15</f>
        <v>-317842.1052631003</v>
      </c>
    </row>
    <row r="39" spans="1:10">
      <c r="A39" s="20" t="s">
        <v>106</v>
      </c>
      <c r="B39" s="20" t="s">
        <v>111</v>
      </c>
      <c r="C39" s="20" t="s">
        <v>112</v>
      </c>
      <c r="D39" s="20" t="s">
        <v>98</v>
      </c>
      <c r="E39" s="20" t="s">
        <v>88</v>
      </c>
      <c r="F39" s="38">
        <f>Finansial!C16</f>
        <v>542387.3684213399</v>
      </c>
      <c r="G39" s="38">
        <f>Finansial!D16</f>
        <v>669609.47368458065</v>
      </c>
      <c r="H39" s="38">
        <f>Finansial!E16</f>
        <v>809434.73684190097</v>
      </c>
      <c r="I39" s="38">
        <f>Finansial!F16</f>
        <v>961863.15789485828</v>
      </c>
      <c r="J39" s="38">
        <f>Finansial!G16</f>
        <v>1126894.736841901</v>
      </c>
    </row>
    <row r="40" spans="1:10">
      <c r="A40" s="11" t="s">
        <v>106</v>
      </c>
      <c r="B40" s="11" t="s">
        <v>111</v>
      </c>
      <c r="C40" s="11" t="s">
        <v>113</v>
      </c>
      <c r="D40" s="11" t="s">
        <v>99</v>
      </c>
      <c r="E40" s="11" t="s">
        <v>85</v>
      </c>
      <c r="F40" s="37">
        <f>Finansial!C17</f>
        <v>4.6090319197758398E-2</v>
      </c>
      <c r="G40" s="37">
        <f>Finansial!D17</f>
        <v>4.7596579764003409E-2</v>
      </c>
      <c r="H40" s="37">
        <f>Finansial!E17</f>
        <v>4.8915702179134005E-2</v>
      </c>
      <c r="I40" s="37">
        <f>Finansial!F17</f>
        <v>5.0081046189785504E-2</v>
      </c>
      <c r="J40" s="37">
        <f>Finansial!G17</f>
        <v>5.1118398973151388E-2</v>
      </c>
    </row>
    <row r="41" spans="1:10">
      <c r="A41" s="1" t="s">
        <v>106</v>
      </c>
      <c r="B41" s="1" t="s">
        <v>111</v>
      </c>
      <c r="C41" s="1" t="s">
        <v>113</v>
      </c>
      <c r="D41" s="1" t="s">
        <v>100</v>
      </c>
      <c r="E41" s="1" t="s">
        <v>85</v>
      </c>
      <c r="F41" s="40">
        <f>Finansial!C18</f>
        <v>1.9298607664875997E-2</v>
      </c>
      <c r="G41" s="40">
        <f>Finansial!D18</f>
        <v>2.0988918712490381E-2</v>
      </c>
      <c r="H41" s="40">
        <f>Finansial!E18</f>
        <v>2.2525595170086853E-2</v>
      </c>
      <c r="I41" s="40">
        <f>Finansial!F18</f>
        <v>2.3928134680701981E-2</v>
      </c>
      <c r="J41" s="40">
        <f>Finansial!G18</f>
        <v>2.5212993329050252E-2</v>
      </c>
    </row>
    <row r="42" spans="1:10">
      <c r="A42" s="11" t="s">
        <v>106</v>
      </c>
      <c r="B42" s="11" t="s">
        <v>111</v>
      </c>
      <c r="C42" s="11" t="s">
        <v>101</v>
      </c>
      <c r="D42" s="11" t="s">
        <v>40</v>
      </c>
      <c r="E42" s="11" t="s">
        <v>88</v>
      </c>
      <c r="F42" s="39">
        <f>Finansial!C21</f>
        <v>0</v>
      </c>
      <c r="G42" s="39">
        <f>Finansial!D21</f>
        <v>0</v>
      </c>
      <c r="H42" s="39">
        <f>Finansial!E21</f>
        <v>0</v>
      </c>
      <c r="I42" s="39">
        <f>Finansial!F21</f>
        <v>0</v>
      </c>
      <c r="J42" s="39">
        <f>Finansial!G21</f>
        <v>0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i:0#.f|membership|achindranata@microsoft.com</cp:lastModifiedBy>
  <cp:revision/>
  <dcterms:created xsi:type="dcterms:W3CDTF">2026-10-27T06:52:32Z</dcterms:created>
  <dcterms:modified xsi:type="dcterms:W3CDTF">2026-10-27T06:54:54Z</dcterms:modified>
  <cp:category/>
  <cp:contentStatus/>
</cp:coreProperties>
</file>