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tptmn.sharepoint.com/sites/SPARKForum/Shared Documents/SPARK Forum/SPARK Forum 2026/09 Microsoft AI Training/"/>
    </mc:Choice>
  </mc:AlternateContent>
  <xr:revisionPtr revIDLastSave="317" documentId="8_{02A9611C-F5AB-4998-8776-B7D94AF83E33}" xr6:coauthVersionLast="47" xr6:coauthVersionMax="47" xr10:uidLastSave="{3C223045-6DE6-49E1-8A55-F7F456B501F0}"/>
  <bookViews>
    <workbookView xWindow="-110" yWindow="-110" windowWidth="19420" windowHeight="11500" activeTab="2" xr2:uid="{00000000-000D-0000-FFFF-FFFF00000000}"/>
  </bookViews>
  <sheets>
    <sheet name="Key Assumptions RJPP" sheetId="1" r:id="rId1"/>
    <sheet name="Operasional" sheetId="2" r:id="rId2"/>
    <sheet name="Finansial" sheetId="5" r:id="rId3"/>
  </sheets>
  <externalReferences>
    <externalReference r:id="rId4"/>
  </externalReference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43412.7003240741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_xlnm.Print_Area" localSheetId="2">Finansial!#REF!,Finansial!$B$31:$H$52,Finansial!$B$55:$H$85,Finansial!$B$88:$H$115,Finansial!$B$118:$H$153,Finansial!$B$156:$H$184,Finansial!$B$187:$H$223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C14" i="2"/>
  <c r="D14" i="2"/>
  <c r="E14" i="2"/>
  <c r="F14" i="2"/>
  <c r="F8" i="2"/>
  <c r="E8" i="2"/>
  <c r="D8" i="2"/>
  <c r="F35" i="5" s="1"/>
  <c r="F123" i="5" s="1"/>
  <c r="F145" i="5" s="1"/>
  <c r="C8" i="2"/>
  <c r="B8" i="2"/>
  <c r="H35" i="5"/>
  <c r="H37" i="5" s="1"/>
  <c r="H40" i="5" s="1"/>
  <c r="H43" i="5" s="1"/>
  <c r="H46" i="5" s="1"/>
  <c r="E234" i="5"/>
  <c r="F234" i="5"/>
  <c r="G234" i="5"/>
  <c r="H234" i="5"/>
  <c r="D234" i="5"/>
  <c r="D189" i="5"/>
  <c r="D183" i="5"/>
  <c r="E180" i="5" s="1"/>
  <c r="F177" i="5"/>
  <c r="F182" i="5" s="1"/>
  <c r="E177" i="5"/>
  <c r="E182" i="5" s="1"/>
  <c r="D177" i="5"/>
  <c r="D182" i="5" s="1"/>
  <c r="H174" i="5"/>
  <c r="G174" i="5"/>
  <c r="E174" i="5"/>
  <c r="D173" i="5"/>
  <c r="F168" i="5"/>
  <c r="F169" i="5" s="1"/>
  <c r="E168" i="5"/>
  <c r="E169" i="5" s="1"/>
  <c r="D168" i="5"/>
  <c r="D169" i="5" s="1"/>
  <c r="H166" i="5"/>
  <c r="G166" i="5"/>
  <c r="F166" i="5"/>
  <c r="H164" i="5"/>
  <c r="G164" i="5"/>
  <c r="D163" i="5"/>
  <c r="E158" i="5"/>
  <c r="D158" i="5"/>
  <c r="D153" i="5"/>
  <c r="F152" i="5"/>
  <c r="E152" i="5"/>
  <c r="D152" i="5"/>
  <c r="F151" i="5"/>
  <c r="E151" i="5"/>
  <c r="D151" i="5"/>
  <c r="H147" i="5"/>
  <c r="G147" i="5"/>
  <c r="F147" i="5"/>
  <c r="H146" i="5"/>
  <c r="G146" i="5"/>
  <c r="D143" i="5"/>
  <c r="F136" i="5"/>
  <c r="E136" i="5"/>
  <c r="D136" i="5"/>
  <c r="F135" i="5"/>
  <c r="E135" i="5"/>
  <c r="D135" i="5"/>
  <c r="F134" i="5"/>
  <c r="E134" i="5"/>
  <c r="D134" i="5"/>
  <c r="F133" i="5"/>
  <c r="E133" i="5"/>
  <c r="D133" i="5"/>
  <c r="H130" i="5"/>
  <c r="G130" i="5"/>
  <c r="F130" i="5"/>
  <c r="H129" i="5"/>
  <c r="G129" i="5"/>
  <c r="H128" i="5"/>
  <c r="G128" i="5"/>
  <c r="D128" i="5"/>
  <c r="H127" i="5"/>
  <c r="G127" i="5"/>
  <c r="F124" i="5"/>
  <c r="E124" i="5"/>
  <c r="D124" i="5"/>
  <c r="H122" i="5"/>
  <c r="G122" i="5"/>
  <c r="F122" i="5"/>
  <c r="E122" i="5"/>
  <c r="D122" i="5"/>
  <c r="E120" i="5"/>
  <c r="D120" i="5"/>
  <c r="E90" i="5"/>
  <c r="D90" i="5"/>
  <c r="F80" i="5"/>
  <c r="E80" i="5"/>
  <c r="D80" i="5"/>
  <c r="H78" i="5"/>
  <c r="G78" i="5"/>
  <c r="H74" i="5"/>
  <c r="G74" i="5"/>
  <c r="F72" i="5"/>
  <c r="F75" i="5" s="1"/>
  <c r="F82" i="5" s="1"/>
  <c r="E72" i="5"/>
  <c r="E75" i="5" s="1"/>
  <c r="D72" i="5"/>
  <c r="D75" i="5" s="1"/>
  <c r="F63" i="5"/>
  <c r="F67" i="5" s="1"/>
  <c r="E63" i="5"/>
  <c r="E67" i="5" s="1"/>
  <c r="D63" i="5"/>
  <c r="D67" i="5" s="1"/>
  <c r="E57" i="5"/>
  <c r="D57" i="5"/>
  <c r="B27" i="5"/>
  <c r="B26" i="5"/>
  <c r="F174" i="5"/>
  <c r="D174" i="5"/>
  <c r="B25" i="5"/>
  <c r="F164" i="5"/>
  <c r="E164" i="5"/>
  <c r="D164" i="5"/>
  <c r="B24" i="5"/>
  <c r="E130" i="5"/>
  <c r="D130" i="5"/>
  <c r="B23" i="5"/>
  <c r="F129" i="5"/>
  <c r="E129" i="5"/>
  <c r="D129" i="5"/>
  <c r="B22" i="5"/>
  <c r="F128" i="5"/>
  <c r="E128" i="5"/>
  <c r="B21" i="5"/>
  <c r="F127" i="5"/>
  <c r="E127" i="5"/>
  <c r="D127" i="5"/>
  <c r="B20" i="5"/>
  <c r="F146" i="5"/>
  <c r="E146" i="5"/>
  <c r="D146" i="5"/>
  <c r="B17" i="5"/>
  <c r="B16" i="5"/>
  <c r="E166" i="5"/>
  <c r="D166" i="5"/>
  <c r="B15" i="5"/>
  <c r="E147" i="5"/>
  <c r="D147" i="5"/>
  <c r="B14" i="5"/>
  <c r="B13" i="5"/>
  <c r="B12" i="5"/>
  <c r="B11" i="5"/>
  <c r="B10" i="5"/>
  <c r="C5" i="1"/>
  <c r="D5" i="1"/>
  <c r="E5" i="1"/>
  <c r="F5" i="1"/>
  <c r="B5" i="1"/>
  <c r="G35" i="5" l="1"/>
  <c r="G37" i="5" s="1"/>
  <c r="G40" i="5" s="1"/>
  <c r="G43" i="5" s="1"/>
  <c r="G46" i="5" s="1"/>
  <c r="G48" i="5" s="1"/>
  <c r="G49" i="5" s="1"/>
  <c r="D35" i="5"/>
  <c r="D37" i="5" s="1"/>
  <c r="D40" i="5" s="1"/>
  <c r="D43" i="5" s="1"/>
  <c r="D46" i="5" s="1"/>
  <c r="D48" i="5" s="1"/>
  <c r="D125" i="5" s="1"/>
  <c r="E35" i="5"/>
  <c r="E123" i="5" s="1"/>
  <c r="E145" i="5" s="1"/>
  <c r="H48" i="5"/>
  <c r="H49" i="5" s="1"/>
  <c r="D123" i="5"/>
  <c r="D145" i="5" s="1"/>
  <c r="F37" i="5"/>
  <c r="F40" i="5" s="1"/>
  <c r="F43" i="5" s="1"/>
  <c r="F46" i="5" s="1"/>
  <c r="F48" i="5" s="1"/>
  <c r="F125" i="5" s="1"/>
  <c r="E37" i="5"/>
  <c r="E40" i="5" s="1"/>
  <c r="E43" i="5" s="1"/>
  <c r="E46" i="5" s="1"/>
  <c r="F142" i="5"/>
  <c r="D82" i="5"/>
  <c r="E82" i="5"/>
  <c r="E84" i="5" s="1"/>
  <c r="E139" i="5"/>
  <c r="D84" i="5"/>
  <c r="F139" i="5"/>
  <c r="F141" i="5"/>
  <c r="F84" i="5"/>
  <c r="E142" i="5"/>
  <c r="F140" i="5"/>
  <c r="D150" i="5"/>
  <c r="H168" i="5"/>
  <c r="H169" i="5" s="1"/>
  <c r="E140" i="5"/>
  <c r="E150" i="5"/>
  <c r="E153" i="5" s="1"/>
  <c r="F150" i="5" s="1"/>
  <c r="F153" i="5" s="1"/>
  <c r="G150" i="5" s="1"/>
  <c r="F120" i="5"/>
  <c r="F90" i="5"/>
  <c r="F57" i="5"/>
  <c r="F158" i="5"/>
  <c r="F189" i="5"/>
  <c r="G162" i="5"/>
  <c r="G163" i="5" s="1"/>
  <c r="D172" i="5"/>
  <c r="E172" i="5"/>
  <c r="E173" i="5" s="1"/>
  <c r="G172" i="5"/>
  <c r="G173" i="5" s="1"/>
  <c r="E162" i="5"/>
  <c r="E163" i="5" s="1"/>
  <c r="D162" i="5"/>
  <c r="F162" i="5"/>
  <c r="F163" i="5" s="1"/>
  <c r="G168" i="5"/>
  <c r="E141" i="5"/>
  <c r="F172" i="5"/>
  <c r="F173" i="5" s="1"/>
  <c r="E189" i="5"/>
  <c r="H172" i="5"/>
  <c r="H173" i="5" s="1"/>
  <c r="H162" i="5"/>
  <c r="H163" i="5" s="1"/>
  <c r="G123" i="5" l="1"/>
  <c r="G145" i="5" s="1"/>
  <c r="F49" i="5"/>
  <c r="F176" i="5" s="1"/>
  <c r="F181" i="5" s="1"/>
  <c r="E48" i="5"/>
  <c r="E125" i="5" s="1"/>
  <c r="D49" i="5"/>
  <c r="D176" i="5" s="1"/>
  <c r="D181" i="5" s="1"/>
  <c r="D180" i="5" s="1"/>
  <c r="F143" i="5"/>
  <c r="E143" i="5"/>
  <c r="G152" i="5"/>
  <c r="G153" i="5"/>
  <c r="G124" i="5"/>
  <c r="G169" i="5"/>
  <c r="G133" i="5"/>
  <c r="G158" i="5"/>
  <c r="G57" i="5"/>
  <c r="G189" i="5"/>
  <c r="G90" i="5"/>
  <c r="G120" i="5"/>
  <c r="H123" i="5"/>
  <c r="H124" i="5"/>
  <c r="E49" i="5" l="1"/>
  <c r="E176" i="5" s="1"/>
  <c r="E181" i="5" s="1"/>
  <c r="E183" i="5" s="1"/>
  <c r="F180" i="5" s="1"/>
  <c r="F183" i="5" s="1"/>
  <c r="G180" i="5" s="1"/>
  <c r="G125" i="5"/>
  <c r="G136" i="5" s="1"/>
  <c r="G134" i="5"/>
  <c r="G135" i="5"/>
  <c r="H158" i="5"/>
  <c r="H189" i="5"/>
  <c r="H120" i="5"/>
  <c r="H90" i="5"/>
  <c r="H57" i="5"/>
  <c r="G61" i="5"/>
  <c r="G139" i="5"/>
  <c r="G65" i="5"/>
  <c r="G151" i="5"/>
  <c r="H150" i="5"/>
  <c r="H135" i="5"/>
  <c r="H134" i="5"/>
  <c r="H145" i="5"/>
  <c r="H133" i="5"/>
  <c r="H61" i="5" l="1"/>
  <c r="H153" i="5"/>
  <c r="H152" i="5"/>
  <c r="H62" i="5"/>
  <c r="H141" i="5"/>
  <c r="H70" i="5"/>
  <c r="G70" i="5"/>
  <c r="G141" i="5"/>
  <c r="G51" i="5"/>
  <c r="G177" i="5" s="1"/>
  <c r="G182" i="5" s="1"/>
  <c r="G176" i="5"/>
  <c r="G181" i="5" s="1"/>
  <c r="H139" i="5"/>
  <c r="H140" i="5"/>
  <c r="G62" i="5"/>
  <c r="G63" i="5" s="1"/>
  <c r="G67" i="5" s="1"/>
  <c r="G140" i="5"/>
  <c r="G143" i="5" s="1"/>
  <c r="G142" i="5"/>
  <c r="G71" i="5"/>
  <c r="G183" i="5" l="1"/>
  <c r="G79" i="5" s="1"/>
  <c r="G80" i="5" s="1"/>
  <c r="H125" i="5"/>
  <c r="H136" i="5" s="1"/>
  <c r="H151" i="5"/>
  <c r="H65" i="5"/>
  <c r="G72" i="5"/>
  <c r="G75" i="5" s="1"/>
  <c r="H63" i="5"/>
  <c r="H180" i="5" l="1"/>
  <c r="G82" i="5"/>
  <c r="G84" i="5" s="1"/>
  <c r="H67" i="5"/>
  <c r="H142" i="5"/>
  <c r="H143" i="5" s="1"/>
  <c r="H71" i="5"/>
  <c r="H72" i="5" s="1"/>
  <c r="H75" i="5" s="1"/>
  <c r="H176" i="5" l="1"/>
  <c r="H181" i="5" s="1"/>
  <c r="H51" i="5"/>
  <c r="H177" i="5" s="1"/>
  <c r="H182" i="5" s="1"/>
  <c r="H183" i="5" l="1"/>
  <c r="H79" i="5" l="1"/>
  <c r="H80" i="5" s="1"/>
  <c r="H82" i="5" s="1"/>
  <c r="H84" i="5" s="1"/>
</calcChain>
</file>

<file path=xl/sharedStrings.xml><?xml version="1.0" encoding="utf-8"?>
<sst xmlns="http://schemas.openxmlformats.org/spreadsheetml/2006/main" count="198" uniqueCount="126">
  <si>
    <t>Key Assumptions RJPP 2026-2030 PT ABC Energy</t>
  </si>
  <si>
    <t>Parameter</t>
  </si>
  <si>
    <t>Year 2026</t>
  </si>
  <si>
    <t>Year 2027</t>
  </si>
  <si>
    <t>Year 2028</t>
  </si>
  <si>
    <t>Year 2029</t>
  </si>
  <si>
    <t>Year 2030</t>
  </si>
  <si>
    <t>Oil Price (USD/bbl)</t>
  </si>
  <si>
    <t>Natural Gas Price (USD/MMSBtu)</t>
  </si>
  <si>
    <t>Natural Gas Price (USD/MMScf)</t>
  </si>
  <si>
    <t>Kurs USD/IDR</t>
  </si>
  <si>
    <t>Produksi Minyak &amp; Gas</t>
  </si>
  <si>
    <t>PRODUKSI MINYAK (MBOPD)</t>
  </si>
  <si>
    <t>Produksi dari M&amp;A</t>
  </si>
  <si>
    <t>Total Produksi Minyak (MBOPD)</t>
  </si>
  <si>
    <t>PRODUKSI GAS (MMSCFD)</t>
  </si>
  <si>
    <t>Total Produksi Gas  (MMSCFD)</t>
  </si>
  <si>
    <t>Alternative Forecasting Methods</t>
  </si>
  <si>
    <t>Alternative: Regression, Bottom Up, Top Down</t>
  </si>
  <si>
    <t>Alternative: COGS Margin, Cost per Unit</t>
  </si>
  <si>
    <t>Alternative: Percent of Sales</t>
  </si>
  <si>
    <t>Alternative: Depreciation Percent of PP&amp;E</t>
  </si>
  <si>
    <t>Alternative: Beginning Debt</t>
  </si>
  <si>
    <t>Alternative: Capex $, Capex % of Sales</t>
  </si>
  <si>
    <t>Alternative: Use Average Balance of Receivables</t>
  </si>
  <si>
    <t>Alternative: Use Average Balance of Inventory</t>
  </si>
  <si>
    <t>Alternative: Use Average Balance of Payables</t>
  </si>
  <si>
    <t>Alternative: Use Average Balance of Income Tax Payable</t>
  </si>
  <si>
    <t>Alternative: Debt/Equity Ratio</t>
  </si>
  <si>
    <t xml:space="preserve"> </t>
  </si>
  <si>
    <t>Income Statement</t>
  </si>
  <si>
    <t>All figures in USD thousands unless stated</t>
  </si>
  <si>
    <t>Revenues</t>
  </si>
  <si>
    <t>Cost of Goods Sold</t>
  </si>
  <si>
    <t>Gross Profit</t>
  </si>
  <si>
    <t>SG&amp;A</t>
  </si>
  <si>
    <t>EBITDA</t>
  </si>
  <si>
    <t>EBIT (Operating Profit)</t>
  </si>
  <si>
    <t>Interest Expense</t>
  </si>
  <si>
    <t>Earnings Before Taxes</t>
  </si>
  <si>
    <t>Taxes (22%)</t>
  </si>
  <si>
    <t>Net Income</t>
  </si>
  <si>
    <t>Common Dividends</t>
  </si>
  <si>
    <t>Alternative: Forecast Share Count and Dividends per Share</t>
  </si>
  <si>
    <t>Balance Sheet</t>
  </si>
  <si>
    <t>ASSETS</t>
  </si>
  <si>
    <t>Cash</t>
  </si>
  <si>
    <t>Trade and Other Receivables</t>
  </si>
  <si>
    <t>Inventories</t>
  </si>
  <si>
    <t>Total Current Assets</t>
  </si>
  <si>
    <t>Property Plant and Equipment</t>
  </si>
  <si>
    <t>TOTAL ASSETS</t>
  </si>
  <si>
    <t>LIABILITIES</t>
  </si>
  <si>
    <t>Trade and Other Payables</t>
  </si>
  <si>
    <t>Income Taxes Payable</t>
  </si>
  <si>
    <t>Total Current Liabilities</t>
  </si>
  <si>
    <t>Long-Term Debt</t>
  </si>
  <si>
    <t>Total Liabilities</t>
  </si>
  <si>
    <t>EQUITY</t>
  </si>
  <si>
    <t>Common Stock and Additional Paid-In Capital</t>
  </si>
  <si>
    <t>Retained Earnings</t>
  </si>
  <si>
    <t>Total Shareholders' Equity</t>
  </si>
  <si>
    <t>Total Liabilities &amp; Equity</t>
  </si>
  <si>
    <t>Balance Sheet Check</t>
  </si>
  <si>
    <t>Cash Flow Statement</t>
  </si>
  <si>
    <t>Cash Flows from Operating Activities</t>
  </si>
  <si>
    <t>Depreciation</t>
  </si>
  <si>
    <t>Changes in Operating Assets and Liabilities:</t>
  </si>
  <si>
    <t>Investing Activities</t>
  </si>
  <si>
    <t>Acquisitions of Property and Equipment</t>
  </si>
  <si>
    <t>Cash Flows from Investing Activities</t>
  </si>
  <si>
    <t>Financing Activities</t>
  </si>
  <si>
    <t>Issuance of Common Stock</t>
  </si>
  <si>
    <t>Dividends (current year)</t>
  </si>
  <si>
    <t>Increase/(Decrease) in Long-Term Debt</t>
  </si>
  <si>
    <t>Cash Flows from Financing Activities</t>
  </si>
  <si>
    <t>Cash and Equivalents, Beginning of the Year</t>
  </si>
  <si>
    <t>Increase/(Decrease) in Cash and Equivalents</t>
  </si>
  <si>
    <t>Cash and Equivalents, End of the Year</t>
  </si>
  <si>
    <t>Working Capital and PP&amp;E Schedule</t>
  </si>
  <si>
    <t>Days in Period</t>
  </si>
  <si>
    <t>Revenue</t>
  </si>
  <si>
    <t>Taxes</t>
  </si>
  <si>
    <t>(Days)</t>
  </si>
  <si>
    <t>Inventory</t>
  </si>
  <si>
    <t>Income Tax Payable (Percent of Taxes)</t>
  </si>
  <si>
    <t>Working Capital</t>
  </si>
  <si>
    <t>Income Tax Payable</t>
  </si>
  <si>
    <t>Cash Changes from Working Capital</t>
  </si>
  <si>
    <t>Cash from Working Capital Items</t>
  </si>
  <si>
    <t>Capital Asset Turnover Ratio</t>
  </si>
  <si>
    <t>(x)</t>
  </si>
  <si>
    <t>Depreciation (Percent of Sales)</t>
  </si>
  <si>
    <t>Property, Plant &amp; Equipment (PP&amp;E)</t>
  </si>
  <si>
    <t>Beginning of Period</t>
  </si>
  <si>
    <t>Capital Expenditures/Additions (Disposals)</t>
  </si>
  <si>
    <t>Depreciation Expense</t>
  </si>
  <si>
    <t>Net PP&amp;E, End of Period</t>
  </si>
  <si>
    <t>Capital Structure Schedules</t>
  </si>
  <si>
    <t/>
  </si>
  <si>
    <t>Long Term Debt (LTD)</t>
  </si>
  <si>
    <t>Additions (Repayments)</t>
  </si>
  <si>
    <t>LTD, End of Period</t>
  </si>
  <si>
    <t>Long-Term Debt Interest (Average Debt)</t>
  </si>
  <si>
    <t>Long Term Debt Interest</t>
  </si>
  <si>
    <t>Total Interest</t>
  </si>
  <si>
    <t>Common Stock, End of Period</t>
  </si>
  <si>
    <t>Dividends</t>
  </si>
  <si>
    <t>Retained Earnings (RE)</t>
  </si>
  <si>
    <t>RE, End of Period</t>
  </si>
  <si>
    <t>Charts &amp; Graphs</t>
  </si>
  <si>
    <t>EBITDA Margin</t>
  </si>
  <si>
    <t>Net Income Margin</t>
  </si>
  <si>
    <t>Cash Flow</t>
  </si>
  <si>
    <t>Operating</t>
  </si>
  <si>
    <t>Investing</t>
  </si>
  <si>
    <t>Financing</t>
  </si>
  <si>
    <t>Change in Cash</t>
  </si>
  <si>
    <t>Capital Expenditure</t>
  </si>
  <si>
    <t>Domestic Investment</t>
  </si>
  <si>
    <t>International Investment</t>
  </si>
  <si>
    <t>M&amp;A Investment</t>
  </si>
  <si>
    <t>CAPEX</t>
  </si>
  <si>
    <t>DD&amp;A</t>
  </si>
  <si>
    <t>Produksi Internasional</t>
  </si>
  <si>
    <t>Produksi Domestik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</si>
</sst>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-* #,##0.00_-;\-* #,##0.00_-;_-* &quot;-&quot;??_-;_-@_-"/>
    <numFmt numFmtId="165" formatCode="_-* #,##0_-;\-* #,##0_-;_-* &quot;-&quot;??_-;_-@_-"/>
    <numFmt numFmtId="166" formatCode="#,##0_);\(#,##0\);\-"/>
    <numFmt numFmtId="167" formatCode="_-* #,##0_-;\(#,##0\)_-;_-* &quot;-&quot;_-;_-@_-"/>
    <numFmt numFmtId="168" formatCode="&quot;Year &quot;0;&quot;Year &quot;\-0"/>
    <numFmt numFmtId="169" formatCode="_(#,##0_);\(#,##0\);_(&quot;–&quot;_);_(@_)"/>
    <numFmt numFmtId="170" formatCode="0.0%"/>
    <numFmt numFmtId="171" formatCode="_(#,##0.0%_);\(#,##0.0%\);_(&quot;–&quot;_);_(@_)"/>
    <numFmt numFmtId="172" formatCode="[=1]&quot;☑️&quot;_);[=0]&quot;⬜&quot;_)"/>
    <numFmt numFmtId="173" formatCode="_(0.00\x_);\(0.00\x\);_(&quot;–&quot;_);_(@_)"/>
    <numFmt numFmtId="174" formatCode="0&quot;A&quot;"/>
    <numFmt numFmtId="175" formatCode="0&quot;F&quot;"/>
    <numFmt numFmtId="176" formatCode="#,##0_);[Red]\(#,##0\);\-"/>
    <numFmt numFmtId="177" formatCode="_(* #,##0_);_(* \(#,##0\);_(* &quot;-&quot;??_);_(@_)"/>
  </numFmts>
  <fonts count="2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"/>
      <family val="1"/>
    </font>
    <font>
      <sz val="10"/>
      <name val="Open Sans"/>
      <family val="2"/>
    </font>
    <font>
      <sz val="10"/>
      <color theme="1"/>
      <name val="Open Sans"/>
      <family val="2"/>
    </font>
    <font>
      <b/>
      <sz val="14"/>
      <color rgb="FF3271D2"/>
      <name val="Open Sans"/>
      <family val="2"/>
    </font>
    <font>
      <b/>
      <sz val="10"/>
      <name val="Open Sans"/>
      <family val="2"/>
    </font>
    <font>
      <sz val="10"/>
      <color rgb="FF000000"/>
      <name val="Open Sans"/>
      <family val="2"/>
    </font>
    <font>
      <i/>
      <sz val="9"/>
      <color rgb="FF000000"/>
      <name val="Open Sans"/>
      <family val="2"/>
    </font>
    <font>
      <b/>
      <sz val="10"/>
      <color rgb="FF000000"/>
      <name val="Open Sans"/>
      <family val="2"/>
    </font>
    <font>
      <sz val="10"/>
      <color rgb="FF3271D2"/>
      <name val="Open Sans"/>
      <family val="2"/>
    </font>
    <font>
      <sz val="10"/>
      <name val="Bookman"/>
    </font>
    <font>
      <sz val="8"/>
      <color rgb="FF947131"/>
      <name val="Open Sans"/>
      <family val="2"/>
    </font>
    <font>
      <i/>
      <sz val="8"/>
      <name val="Open Sans"/>
      <family val="2"/>
    </font>
    <font>
      <b/>
      <sz val="10"/>
      <color rgb="FF0000FF"/>
      <name val="Open Sans"/>
      <family val="2"/>
    </font>
    <font>
      <sz val="10"/>
      <color rgb="FF0000FF"/>
      <name val="Open Sans"/>
      <family val="2"/>
    </font>
    <font>
      <i/>
      <sz val="10"/>
      <name val="Open Sans"/>
      <family val="2"/>
    </font>
    <font>
      <b/>
      <sz val="10"/>
      <color rgb="FF947131"/>
      <name val="Open Sans"/>
      <family val="2"/>
    </font>
    <font>
      <sz val="10"/>
      <color rgb="FFFA621C"/>
      <name val="Open Sans"/>
      <family val="2"/>
    </font>
    <font>
      <i/>
      <sz val="10"/>
      <color rgb="FF000000"/>
      <name val="Open Sans"/>
      <family val="2"/>
    </font>
    <font>
      <sz val="8"/>
      <name val="Calibri"/>
      <family val="2"/>
      <scheme val="minor"/>
    </font>
    <font>
      <b/>
      <sz val="12"/>
      <color rgb="FF3271D2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F2FF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4">
    <border>
      <left/>
      <right/>
      <top/>
      <bottom/>
      <diagonal/>
    </border>
    <border>
      <left/>
      <right/>
      <top/>
      <bottom style="medium">
        <color rgb="FF3271D2"/>
      </bottom>
      <diagonal/>
    </border>
    <border>
      <left/>
      <right/>
      <top style="thin">
        <color rgb="FF3271D2"/>
      </top>
      <bottom style="medium">
        <color rgb="FF3271D2"/>
      </bottom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3" fillId="0" borderId="0"/>
    <xf numFmtId="164" fontId="4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5" fillId="0" borderId="0" xfId="2" applyFont="1"/>
    <xf numFmtId="37" fontId="6" fillId="0" borderId="0" xfId="2" applyNumberFormat="1" applyFont="1" applyAlignment="1">
      <alignment vertical="center"/>
    </xf>
    <xf numFmtId="37" fontId="7" fillId="2" borderId="0" xfId="2" applyNumberFormat="1" applyFont="1" applyFill="1" applyAlignment="1">
      <alignment vertical="center"/>
    </xf>
    <xf numFmtId="0" fontId="8" fillId="0" borderId="0" xfId="2" applyFont="1"/>
    <xf numFmtId="166" fontId="5" fillId="0" borderId="0" xfId="2" applyNumberFormat="1" applyFont="1"/>
    <xf numFmtId="37" fontId="9" fillId="0" borderId="0" xfId="2" applyNumberFormat="1" applyFont="1"/>
    <xf numFmtId="167" fontId="10" fillId="0" borderId="0" xfId="3" applyNumberFormat="1" applyFont="1" applyFill="1" applyAlignment="1" applyProtection="1">
      <alignment horizontal="left"/>
      <protection locked="0"/>
    </xf>
    <xf numFmtId="168" fontId="11" fillId="0" borderId="1" xfId="2" applyNumberFormat="1" applyFont="1" applyBorder="1" applyAlignment="1">
      <alignment horizontal="right" vertical="center"/>
    </xf>
    <xf numFmtId="168" fontId="11" fillId="0" borderId="2" xfId="2" applyNumberFormat="1" applyFont="1" applyBorder="1" applyAlignment="1">
      <alignment horizontal="right" vertical="center"/>
    </xf>
    <xf numFmtId="37" fontId="6" fillId="0" borderId="0" xfId="2" applyNumberFormat="1" applyFont="1"/>
    <xf numFmtId="169" fontId="12" fillId="0" borderId="0" xfId="2" applyNumberFormat="1" applyFont="1"/>
    <xf numFmtId="0" fontId="5" fillId="0" borderId="0" xfId="2" applyFont="1" applyAlignment="1">
      <alignment horizontal="left" indent="1"/>
    </xf>
    <xf numFmtId="172" fontId="14" fillId="0" borderId="0" xfId="2" applyNumberFormat="1" applyFont="1" applyAlignment="1" applyProtection="1">
      <alignment horizontal="center" vertical="center"/>
      <protection hidden="1"/>
    </xf>
    <xf numFmtId="166" fontId="12" fillId="0" borderId="0" xfId="2" applyNumberFormat="1" applyFont="1"/>
    <xf numFmtId="0" fontId="3" fillId="0" borderId="0" xfId="2"/>
    <xf numFmtId="0" fontId="15" fillId="0" borderId="0" xfId="2" applyFont="1" applyAlignment="1">
      <alignment horizontal="center"/>
    </xf>
    <xf numFmtId="169" fontId="9" fillId="3" borderId="0" xfId="2" applyNumberFormat="1" applyFont="1" applyFill="1"/>
    <xf numFmtId="0" fontId="5" fillId="0" borderId="0" xfId="2" applyFont="1" applyAlignment="1">
      <alignment horizontal="left"/>
    </xf>
    <xf numFmtId="0" fontId="5" fillId="0" borderId="3" xfId="2" applyFont="1" applyBorder="1"/>
    <xf numFmtId="37" fontId="7" fillId="0" borderId="0" xfId="2" applyNumberFormat="1" applyFont="1" applyAlignment="1">
      <alignment vertical="center"/>
    </xf>
    <xf numFmtId="0" fontId="8" fillId="0" borderId="0" xfId="2" applyFont="1" applyAlignment="1">
      <alignment horizontal="left" indent="1"/>
    </xf>
    <xf numFmtId="169" fontId="16" fillId="0" borderId="0" xfId="2" applyNumberFormat="1" applyFont="1"/>
    <xf numFmtId="169" fontId="8" fillId="0" borderId="0" xfId="2" applyNumberFormat="1" applyFont="1"/>
    <xf numFmtId="169" fontId="9" fillId="0" borderId="0" xfId="2" applyNumberFormat="1" applyFont="1"/>
    <xf numFmtId="166" fontId="17" fillId="0" borderId="3" xfId="2" applyNumberFormat="1" applyFont="1" applyBorder="1"/>
    <xf numFmtId="166" fontId="5" fillId="0" borderId="3" xfId="2" applyNumberFormat="1" applyFont="1" applyBorder="1"/>
    <xf numFmtId="174" fontId="11" fillId="0" borderId="0" xfId="2" applyNumberFormat="1" applyFont="1" applyAlignment="1">
      <alignment horizontal="right" vertical="center"/>
    </xf>
    <xf numFmtId="175" fontId="11" fillId="0" borderId="0" xfId="2" applyNumberFormat="1" applyFont="1" applyAlignment="1">
      <alignment horizontal="right" vertical="center"/>
    </xf>
    <xf numFmtId="0" fontId="17" fillId="0" borderId="0" xfId="2" applyFont="1"/>
    <xf numFmtId="166" fontId="9" fillId="0" borderId="0" xfId="2" applyNumberFormat="1" applyFont="1"/>
    <xf numFmtId="169" fontId="9" fillId="3" borderId="4" xfId="2" applyNumberFormat="1" applyFont="1" applyFill="1" applyBorder="1"/>
    <xf numFmtId="176" fontId="9" fillId="0" borderId="0" xfId="2" applyNumberFormat="1" applyFont="1"/>
    <xf numFmtId="169" fontId="17" fillId="0" borderId="0" xfId="2" applyNumberFormat="1" applyFont="1"/>
    <xf numFmtId="169" fontId="5" fillId="0" borderId="0" xfId="2" applyNumberFormat="1" applyFont="1"/>
    <xf numFmtId="169" fontId="11" fillId="3" borderId="5" xfId="2" applyNumberFormat="1" applyFont="1" applyFill="1" applyBorder="1"/>
    <xf numFmtId="176" fontId="11" fillId="0" borderId="0" xfId="2" applyNumberFormat="1" applyFont="1"/>
    <xf numFmtId="169" fontId="11" fillId="3" borderId="4" xfId="2" applyNumberFormat="1" applyFont="1" applyFill="1" applyBorder="1"/>
    <xf numFmtId="169" fontId="11" fillId="0" borderId="0" xfId="2" applyNumberFormat="1" applyFont="1"/>
    <xf numFmtId="0" fontId="9" fillId="0" borderId="0" xfId="2" applyFont="1"/>
    <xf numFmtId="0" fontId="18" fillId="0" borderId="0" xfId="2" applyFont="1" applyAlignment="1">
      <alignment horizontal="left" indent="1"/>
    </xf>
    <xf numFmtId="0" fontId="18" fillId="0" borderId="0" xfId="2" applyFont="1"/>
    <xf numFmtId="0" fontId="19" fillId="0" borderId="0" xfId="2" applyFont="1"/>
    <xf numFmtId="0" fontId="18" fillId="0" borderId="3" xfId="2" applyFont="1" applyBorder="1"/>
    <xf numFmtId="169" fontId="9" fillId="0" borderId="3" xfId="2" applyNumberFormat="1" applyFont="1" applyBorder="1"/>
    <xf numFmtId="169" fontId="7" fillId="0" borderId="0" xfId="2" applyNumberFormat="1" applyFont="1" applyAlignment="1">
      <alignment vertical="center"/>
    </xf>
    <xf numFmtId="169" fontId="11" fillId="0" borderId="0" xfId="2" applyNumberFormat="1" applyFont="1" applyAlignment="1">
      <alignment horizontal="right" vertical="center"/>
    </xf>
    <xf numFmtId="169" fontId="17" fillId="0" borderId="0" xfId="2" applyNumberFormat="1" applyFont="1" applyAlignment="1">
      <alignment horizontal="right"/>
    </xf>
    <xf numFmtId="169" fontId="5" fillId="0" borderId="0" xfId="2" applyNumberFormat="1" applyFont="1" applyAlignment="1">
      <alignment horizontal="right"/>
    </xf>
    <xf numFmtId="0" fontId="5" fillId="0" borderId="0" xfId="2" applyFont="1" applyAlignment="1">
      <alignment horizontal="left" indent="2"/>
    </xf>
    <xf numFmtId="169" fontId="5" fillId="0" borderId="3" xfId="2" applyNumberFormat="1" applyFont="1" applyBorder="1"/>
    <xf numFmtId="169" fontId="9" fillId="3" borderId="6" xfId="2" applyNumberFormat="1" applyFont="1" applyFill="1" applyBorder="1"/>
    <xf numFmtId="169" fontId="9" fillId="3" borderId="7" xfId="4" applyNumberFormat="1" applyFont="1" applyFill="1" applyBorder="1"/>
    <xf numFmtId="169" fontId="9" fillId="3" borderId="0" xfId="4" applyNumberFormat="1" applyFont="1" applyFill="1" applyBorder="1"/>
    <xf numFmtId="169" fontId="9" fillId="3" borderId="8" xfId="4" applyNumberFormat="1" applyFont="1" applyFill="1" applyBorder="1"/>
    <xf numFmtId="169" fontId="9" fillId="3" borderId="3" xfId="4" applyNumberFormat="1" applyFont="1" applyFill="1" applyBorder="1"/>
    <xf numFmtId="169" fontId="5" fillId="0" borderId="0" xfId="4" applyNumberFormat="1" applyFont="1" applyFill="1"/>
    <xf numFmtId="169" fontId="17" fillId="0" borderId="0" xfId="4" applyNumberFormat="1" applyFont="1" applyFill="1"/>
    <xf numFmtId="171" fontId="5" fillId="3" borderId="0" xfId="4" applyNumberFormat="1" applyFont="1" applyFill="1"/>
    <xf numFmtId="169" fontId="9" fillId="3" borderId="0" xfId="4" applyNumberFormat="1" applyFont="1" applyFill="1"/>
    <xf numFmtId="169" fontId="9" fillId="0" borderId="0" xfId="4" applyNumberFormat="1" applyFont="1" applyFill="1"/>
    <xf numFmtId="0" fontId="11" fillId="0" borderId="0" xfId="2" applyFont="1" applyAlignment="1">
      <alignment horizontal="left"/>
    </xf>
    <xf numFmtId="169" fontId="12" fillId="0" borderId="0" xfId="4" applyNumberFormat="1" applyFont="1" applyFill="1"/>
    <xf numFmtId="169" fontId="12" fillId="0" borderId="0" xfId="4" applyNumberFormat="1" applyFont="1" applyFill="1" applyBorder="1"/>
    <xf numFmtId="169" fontId="9" fillId="3" borderId="0" xfId="4" applyNumberFormat="1" applyFont="1" applyFill="1" applyBorder="1" applyAlignment="1">
      <alignment horizontal="right"/>
    </xf>
    <xf numFmtId="169" fontId="9" fillId="3" borderId="5" xfId="4" applyNumberFormat="1" applyFont="1" applyFill="1" applyBorder="1"/>
    <xf numFmtId="169" fontId="9" fillId="0" borderId="0" xfId="4" applyNumberFormat="1" applyFont="1" applyFill="1" applyBorder="1"/>
    <xf numFmtId="169" fontId="9" fillId="3" borderId="6" xfId="2" applyNumberFormat="1" applyFont="1" applyFill="1" applyBorder="1" applyAlignment="1">
      <alignment horizontal="right" vertical="center"/>
    </xf>
    <xf numFmtId="169" fontId="9" fillId="3" borderId="4" xfId="2" applyNumberFormat="1" applyFont="1" applyFill="1" applyBorder="1" applyAlignment="1">
      <alignment horizontal="right" vertical="center"/>
    </xf>
    <xf numFmtId="173" fontId="9" fillId="3" borderId="7" xfId="2" applyNumberFormat="1" applyFont="1" applyFill="1" applyBorder="1" applyAlignment="1">
      <alignment horizontal="right" vertical="center"/>
    </xf>
    <xf numFmtId="173" fontId="9" fillId="3" borderId="0" xfId="2" applyNumberFormat="1" applyFont="1" applyFill="1" applyAlignment="1">
      <alignment horizontal="right" vertical="center"/>
    </xf>
    <xf numFmtId="171" fontId="9" fillId="3" borderId="8" xfId="2" applyNumberFormat="1" applyFont="1" applyFill="1" applyBorder="1" applyAlignment="1">
      <alignment horizontal="right" vertical="center"/>
    </xf>
    <xf numFmtId="171" fontId="9" fillId="3" borderId="3" xfId="2" applyNumberFormat="1" applyFont="1" applyFill="1" applyBorder="1" applyAlignment="1">
      <alignment horizontal="right" vertical="center"/>
    </xf>
    <xf numFmtId="167" fontId="10" fillId="0" borderId="0" xfId="3" applyNumberFormat="1" applyFont="1" applyFill="1" applyAlignment="1" applyProtection="1">
      <alignment horizontal="left" indent="1"/>
      <protection locked="0"/>
    </xf>
    <xf numFmtId="0" fontId="20" fillId="0" borderId="0" xfId="2" applyFont="1"/>
    <xf numFmtId="0" fontId="9" fillId="0" borderId="3" xfId="2" applyFont="1" applyBorder="1"/>
    <xf numFmtId="169" fontId="9" fillId="3" borderId="0" xfId="2" applyNumberFormat="1" applyFont="1" applyFill="1" applyAlignment="1">
      <alignment horizontal="right"/>
    </xf>
    <xf numFmtId="171" fontId="5" fillId="3" borderId="9" xfId="2" applyNumberFormat="1" applyFont="1" applyFill="1" applyBorder="1"/>
    <xf numFmtId="171" fontId="5" fillId="3" borderId="10" xfId="2" applyNumberFormat="1" applyFont="1" applyFill="1" applyBorder="1"/>
    <xf numFmtId="171" fontId="5" fillId="0" borderId="0" xfId="2" applyNumberFormat="1" applyFont="1"/>
    <xf numFmtId="169" fontId="5" fillId="3" borderId="0" xfId="2" applyNumberFormat="1" applyFont="1" applyFill="1"/>
    <xf numFmtId="169" fontId="8" fillId="3" borderId="4" xfId="2" applyNumberFormat="1" applyFont="1" applyFill="1" applyBorder="1"/>
    <xf numFmtId="169" fontId="5" fillId="3" borderId="6" xfId="2" applyNumberFormat="1" applyFont="1" applyFill="1" applyBorder="1"/>
    <xf numFmtId="169" fontId="5" fillId="3" borderId="4" xfId="2" applyNumberFormat="1" applyFont="1" applyFill="1" applyBorder="1"/>
    <xf numFmtId="169" fontId="5" fillId="3" borderId="8" xfId="2" applyNumberFormat="1" applyFont="1" applyFill="1" applyBorder="1"/>
    <xf numFmtId="169" fontId="5" fillId="3" borderId="3" xfId="2" applyNumberFormat="1" applyFont="1" applyFill="1" applyBorder="1"/>
    <xf numFmtId="169" fontId="11" fillId="3" borderId="11" xfId="2" applyNumberFormat="1" applyFont="1" applyFill="1" applyBorder="1"/>
    <xf numFmtId="0" fontId="18" fillId="0" borderId="0" xfId="2" applyFont="1" applyAlignment="1">
      <alignment horizontal="left" indent="2"/>
    </xf>
    <xf numFmtId="171" fontId="21" fillId="3" borderId="4" xfId="4" applyNumberFormat="1" applyFont="1" applyFill="1" applyBorder="1"/>
    <xf numFmtId="170" fontId="21" fillId="0" borderId="0" xfId="4" applyNumberFormat="1" applyFont="1" applyBorder="1"/>
    <xf numFmtId="169" fontId="9" fillId="3" borderId="5" xfId="2" applyNumberFormat="1" applyFont="1" applyFill="1" applyBorder="1"/>
    <xf numFmtId="37" fontId="7" fillId="2" borderId="0" xfId="2" applyNumberFormat="1" applyFont="1" applyFill="1" applyAlignment="1">
      <alignment horizontal="centerContinuous" vertical="distributed"/>
    </xf>
    <xf numFmtId="37" fontId="7" fillId="2" borderId="0" xfId="2" applyNumberFormat="1" applyFont="1" applyFill="1" applyAlignment="1">
      <alignment horizontal="centerContinuous" vertical="center"/>
    </xf>
    <xf numFmtId="0" fontId="0" fillId="4" borderId="0" xfId="0" applyFill="1"/>
    <xf numFmtId="0" fontId="1" fillId="4" borderId="0" xfId="0" applyFont="1" applyFill="1"/>
    <xf numFmtId="168" fontId="11" fillId="0" borderId="1" xfId="2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37" fontId="23" fillId="2" borderId="0" xfId="2" applyNumberFormat="1" applyFont="1" applyFill="1" applyAlignment="1">
      <alignment vertical="center"/>
    </xf>
    <xf numFmtId="167" fontId="24" fillId="0" borderId="0" xfId="3" applyNumberFormat="1" applyFont="1" applyFill="1" applyAlignment="1" applyProtection="1">
      <alignment horizontal="left"/>
      <protection locked="0"/>
    </xf>
    <xf numFmtId="167" fontId="25" fillId="0" borderId="0" xfId="3" applyNumberFormat="1" applyFont="1" applyFill="1" applyAlignment="1" applyProtection="1">
      <alignment horizontal="left"/>
      <protection locked="0"/>
    </xf>
    <xf numFmtId="168" fontId="26" fillId="0" borderId="1" xfId="2" applyNumberFormat="1" applyFont="1" applyBorder="1" applyAlignment="1">
      <alignment horizontal="right" vertical="center"/>
    </xf>
    <xf numFmtId="0" fontId="27" fillId="0" borderId="0" xfId="2" applyFont="1"/>
    <xf numFmtId="0" fontId="28" fillId="0" borderId="0" xfId="2" applyFont="1"/>
    <xf numFmtId="166" fontId="28" fillId="0" borderId="0" xfId="2" applyNumberFormat="1" applyFont="1"/>
    <xf numFmtId="0" fontId="27" fillId="0" borderId="0" xfId="2" applyFont="1" applyAlignment="1">
      <alignment horizontal="left" indent="1"/>
    </xf>
    <xf numFmtId="0" fontId="28" fillId="0" borderId="0" xfId="2" applyFont="1" applyAlignment="1">
      <alignment horizontal="left" indent="1"/>
    </xf>
    <xf numFmtId="169" fontId="1" fillId="4" borderId="0" xfId="2" applyNumberFormat="1" applyFont="1" applyFill="1" applyAlignment="1">
      <alignment horizontal="center"/>
    </xf>
    <xf numFmtId="169" fontId="1" fillId="5" borderId="0" xfId="2" applyNumberFormat="1" applyFont="1" applyFill="1" applyAlignment="1">
      <alignment horizontal="center"/>
    </xf>
    <xf numFmtId="169" fontId="2" fillId="4" borderId="0" xfId="2" applyNumberFormat="1" applyFont="1" applyFill="1" applyAlignment="1">
      <alignment horizontal="center"/>
    </xf>
    <xf numFmtId="169" fontId="2" fillId="5" borderId="0" xfId="2" applyNumberFormat="1" applyFont="1" applyFill="1" applyAlignment="1">
      <alignment horizontal="center"/>
    </xf>
    <xf numFmtId="169" fontId="1" fillId="5" borderId="4" xfId="2" applyNumberFormat="1" applyFont="1" applyFill="1" applyBorder="1" applyAlignment="1">
      <alignment horizontal="center"/>
    </xf>
    <xf numFmtId="9" fontId="1" fillId="4" borderId="0" xfId="2" applyNumberFormat="1" applyFont="1" applyFill="1" applyAlignment="1">
      <alignment horizontal="center"/>
    </xf>
    <xf numFmtId="169" fontId="1" fillId="5" borderId="5" xfId="2" applyNumberFormat="1" applyFont="1" applyFill="1" applyBorder="1" applyAlignment="1">
      <alignment horizontal="center"/>
    </xf>
    <xf numFmtId="165" fontId="28" fillId="0" borderId="0" xfId="1" applyNumberFormat="1" applyFont="1" applyAlignment="1">
      <alignment horizontal="center"/>
    </xf>
    <xf numFmtId="165" fontId="28" fillId="0" borderId="12" xfId="1" applyNumberFormat="1" applyFont="1" applyBorder="1" applyAlignment="1">
      <alignment horizontal="center"/>
    </xf>
    <xf numFmtId="165" fontId="27" fillId="0" borderId="13" xfId="1" applyNumberFormat="1" applyFont="1" applyBorder="1" applyAlignment="1">
      <alignment horizontal="center"/>
    </xf>
    <xf numFmtId="165" fontId="1" fillId="4" borderId="0" xfId="1" applyNumberFormat="1" applyFont="1" applyFill="1" applyAlignment="1">
      <alignment horizontal="center"/>
    </xf>
    <xf numFmtId="177" fontId="2" fillId="4" borderId="0" xfId="1" applyNumberFormat="1" applyFont="1" applyFill="1" applyAlignment="1">
      <alignment horizontal="center"/>
    </xf>
    <xf numFmtId="0" fontId="1" fillId="0" borderId="0" xfId="0" applyFont="1"/>
  </cellXfs>
  <cellStyles count="5">
    <cellStyle name="Comma" xfId="1" builtinId="3"/>
    <cellStyle name="Comma 2" xfId="3" xr:uid="{473AD129-B370-43ED-B805-A8FAD52D6658}"/>
    <cellStyle name="Normal" xfId="0" builtinId="0"/>
    <cellStyle name="Normal 2" xfId="2" xr:uid="{7A0A06D6-FB87-4E9F-BC71-C3B9A5ED775F}"/>
    <cellStyle name="Percent 2" xfId="4" xr:uid="{12996DF1-300E-421F-BF3C-AD8A6E8BDCC3}"/>
  </cellStyles>
  <dxfs count="1">
    <dxf>
      <font>
        <b/>
        <i val="0"/>
        <strike val="0"/>
        <color theme="0"/>
      </font>
      <fill>
        <patternFill>
          <bgColor rgb="FF94713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[1]Model!$B$192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[1]Model!$D$192:$K$192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F045-4B9F-B96D-CC1D6B99B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635279256"/>
        <c:axId val="635280568"/>
      </c:barChart>
      <c:lineChart>
        <c:grouping val="standard"/>
        <c:varyColors val="0"/>
        <c:ser>
          <c:idx val="1"/>
          <c:order val="1"/>
          <c:tx>
            <c:strRef>
              <c:f>[1]Model!$B$194</c:f>
              <c:strCache>
                <c:ptCount val="1"/>
                <c:pt idx="0">
                  <c:v>EBITDA Margin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[1]Model!$D$194:$K$194</c:f>
              <c:numCache>
                <c:formatCode>General</c:formatCode>
                <c:ptCount val="8"/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F045-4B9F-B96D-CC1D6B99BBD2}"/>
            </c:ext>
          </c:extLst>
        </c:ser>
        <c:ser>
          <c:idx val="2"/>
          <c:order val="2"/>
          <c:tx>
            <c:strRef>
              <c:f>[1]Model!$B$197</c:f>
              <c:strCache>
                <c:ptCount val="1"/>
                <c:pt idx="0">
                  <c:v>Net Income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[1]Model!$D$197:$K$197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045-4B9F-B96D-CC1D6B99B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3547456"/>
        <c:axId val="405025360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valAx>
        <c:axId val="405025360"/>
        <c:scaling>
          <c:orientation val="minMax"/>
          <c:max val="0.30000000000000004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547456"/>
        <c:crosses val="max"/>
        <c:crossBetween val="between"/>
      </c:valAx>
      <c:catAx>
        <c:axId val="5535474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50253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76400777572706335"/>
          <c:h val="7.79451466404126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902917734783567"/>
          <c:y val="0.11494971400294005"/>
          <c:w val="0.76762868213496627"/>
          <c:h val="0.77784941854541745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[1]Model!$B$201</c:f>
              <c:strCache>
                <c:ptCount val="1"/>
                <c:pt idx="0">
                  <c:v>Investing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[1]Model!$D$201:$K$201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719B-4E91-83DF-B30E160905AD}"/>
            </c:ext>
          </c:extLst>
        </c:ser>
        <c:ser>
          <c:idx val="3"/>
          <c:order val="1"/>
          <c:tx>
            <c:strRef>
              <c:f>[1]Model!$B$202</c:f>
              <c:strCache>
                <c:ptCount val="1"/>
                <c:pt idx="0">
                  <c:v>Financing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[1]Model!$D$202:$K$202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719B-4E91-83DF-B30E160905AD}"/>
            </c:ext>
          </c:extLst>
        </c:ser>
        <c:ser>
          <c:idx val="0"/>
          <c:order val="2"/>
          <c:tx>
            <c:strRef>
              <c:f>[1]Model!$B$200</c:f>
              <c:strCache>
                <c:ptCount val="1"/>
                <c:pt idx="0">
                  <c:v>Operating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[1]Model!$D$200:$K$200</c:f>
              <c:numCache>
                <c:formatCode>General</c:formatCode>
                <c:ptCount val="8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[1]Model!$D$5:$K$5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0</c:v>
                      </c:pt>
                      <c:pt idx="3">
                        <c:v>1</c:v>
                      </c:pt>
                      <c:pt idx="4">
                        <c:v>2</c:v>
                      </c:pt>
                      <c:pt idx="5">
                        <c:v>3</c:v>
                      </c:pt>
                      <c:pt idx="6">
                        <c:v>4</c:v>
                      </c:pt>
                      <c:pt idx="7">
                        <c:v>5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2-719B-4E91-83DF-B30E1609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635279256"/>
        <c:axId val="635280568"/>
      </c:barChart>
      <c:lineChart>
        <c:grouping val="standard"/>
        <c:varyColors val="0"/>
        <c:ser>
          <c:idx val="2"/>
          <c:order val="3"/>
          <c:tx>
            <c:strRef>
              <c:f>[1]Model!$B$203</c:f>
              <c:strCache>
                <c:ptCount val="1"/>
                <c:pt idx="0">
                  <c:v>Change in Cash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[1]Model!$D$203:$K$203</c:f>
              <c:numCache>
                <c:formatCode>General</c:formatCode>
                <c:ptCount val="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9B-4E91-83DF-B30E1609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279256"/>
        <c:axId val="635280568"/>
      </c:lineChart>
      <c:catAx>
        <c:axId val="6352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80568"/>
        <c:crosses val="autoZero"/>
        <c:auto val="1"/>
        <c:lblAlgn val="ctr"/>
        <c:lblOffset val="100"/>
        <c:noMultiLvlLbl val="0"/>
      </c:catAx>
      <c:valAx>
        <c:axId val="635280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 panose="020B0606030504020204" pitchFamily="34" charset="0"/>
                <a:ea typeface="Open Sans" panose="020B0606030504020204" pitchFamily="34" charset="0"/>
                <a:cs typeface="Open Sans" panose="020B0606030504020204" pitchFamily="34" charset="0"/>
              </a:defRPr>
            </a:pPr>
            <a:endParaRPr lang="en-US"/>
          </a:p>
        </c:txPr>
        <c:crossAx val="6352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12333488497118543"/>
          <c:y val="5.0831792975970423E-2"/>
          <c:w val="0.86634672331237528"/>
          <c:h val="7.80172179996498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Open Sans" panose="020B0606030504020204" pitchFamily="34" charset="0"/>
              <a:ea typeface="Open Sans" panose="020B0606030504020204" pitchFamily="34" charset="0"/>
              <a:cs typeface="Open Sans" panose="020B0606030504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56110</xdr:colOff>
      <xdr:row>206</xdr:row>
      <xdr:rowOff>85090</xdr:rowOff>
    </xdr:from>
    <xdr:to>
      <xdr:col>4</xdr:col>
      <xdr:colOff>900198</xdr:colOff>
      <xdr:row>221</xdr:row>
      <xdr:rowOff>149051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5C08A7-A10E-4587-BC59-B629E5740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871104</xdr:colOff>
      <xdr:row>206</xdr:row>
      <xdr:rowOff>96405</xdr:rowOff>
    </xdr:from>
    <xdr:to>
      <xdr:col>8</xdr:col>
      <xdr:colOff>0</xdr:colOff>
      <xdr:row>221</xdr:row>
      <xdr:rowOff>162906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66F8F2-01B7-4DDB-8862-D1410360900E}"/>
            </a:ext>
            <a:ext uri="{147F2762-F138-4A5C-976F-8EAC2B608ADB}">
              <a16:predDERef xmlns:a16="http://schemas.microsoft.com/office/drawing/2014/main" pred="{BD5C08A7-A10E-4587-BC59-B629E57408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tptmn-my.sharepoint.com/personal/jethro_hasoloan_pertamina_com/Documents/S&amp;I%20Persero/Format%20CFI.xlsx" TargetMode="External"/><Relationship Id="rId1" Type="http://schemas.openxmlformats.org/officeDocument/2006/relationships/externalLinkPath" Target="Format%20CF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"/>
      <sheetName val="Cover"/>
      <sheetName val="Model-R"/>
    </sheetNames>
    <sheetDataSet>
      <sheetData sheetId="0">
        <row r="5">
          <cell r="D5">
            <v>-2</v>
          </cell>
          <cell r="E5">
            <v>-1</v>
          </cell>
          <cell r="F5">
            <v>0</v>
          </cell>
          <cell r="G5">
            <v>1</v>
          </cell>
          <cell r="H5">
            <v>2</v>
          </cell>
          <cell r="I5">
            <v>3</v>
          </cell>
          <cell r="J5">
            <v>4</v>
          </cell>
          <cell r="K5">
            <v>5</v>
          </cell>
        </row>
        <row r="192">
          <cell r="B192" t="str">
            <v>Revenue</v>
          </cell>
        </row>
        <row r="194">
          <cell r="B194" t="str">
            <v>EBITDA Margin</v>
          </cell>
        </row>
        <row r="197">
          <cell r="B197" t="str">
            <v>Net Income Margin</v>
          </cell>
        </row>
        <row r="200">
          <cell r="B200" t="str">
            <v>Operating</v>
          </cell>
        </row>
        <row r="201">
          <cell r="B201" t="str">
            <v>Investing</v>
          </cell>
        </row>
        <row r="202">
          <cell r="B202" t="str">
            <v>Financing</v>
          </cell>
        </row>
        <row r="203">
          <cell r="B203" t="str">
            <v>Change in Cash</v>
          </cell>
        </row>
      </sheetData>
      <sheetData sheetId="1"/>
      <sheetData sheetId="2">
        <row r="10">
          <cell r="O10">
            <v>1</v>
          </cell>
        </row>
        <row r="11">
          <cell r="O11">
            <v>1</v>
          </cell>
        </row>
        <row r="12">
          <cell r="O12">
            <v>1</v>
          </cell>
        </row>
        <row r="13">
          <cell r="O13">
            <v>1</v>
          </cell>
        </row>
        <row r="14">
          <cell r="O14">
            <v>1</v>
          </cell>
        </row>
        <row r="15">
          <cell r="O15">
            <v>1</v>
          </cell>
        </row>
        <row r="16">
          <cell r="O16">
            <v>1</v>
          </cell>
        </row>
        <row r="17">
          <cell r="O17">
            <v>1</v>
          </cell>
        </row>
        <row r="20">
          <cell r="O20">
            <v>1</v>
          </cell>
        </row>
        <row r="21">
          <cell r="O21">
            <v>1</v>
          </cell>
        </row>
        <row r="22">
          <cell r="O22">
            <v>1</v>
          </cell>
        </row>
        <row r="23">
          <cell r="O23">
            <v>1</v>
          </cell>
        </row>
        <row r="24">
          <cell r="O24">
            <v>1</v>
          </cell>
        </row>
        <row r="25">
          <cell r="O25">
            <v>1</v>
          </cell>
        </row>
        <row r="26">
          <cell r="O26">
            <v>1</v>
          </cell>
        </row>
        <row r="27">
          <cell r="O27">
            <v>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workbookViewId="0">
      <selection activeCell="B20" sqref="B20"/>
    </sheetView>
  </sheetViews>
  <sheetFormatPr defaultRowHeight="14.5"/>
  <cols>
    <col min="1" max="1" width="40.81640625" bestFit="1" customWidth="1"/>
    <col min="2" max="6" width="34" customWidth="1"/>
  </cols>
  <sheetData>
    <row r="1" spans="1:7" ht="16.25" customHeight="1">
      <c r="A1" s="99" t="s">
        <v>0</v>
      </c>
      <c r="B1" s="5"/>
      <c r="C1" s="5"/>
      <c r="D1" s="5"/>
      <c r="E1" s="5"/>
      <c r="F1" s="5"/>
      <c r="G1" s="5"/>
    </row>
    <row r="2" spans="1:7" ht="15" thickBot="1">
      <c r="A2" s="97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</row>
    <row r="3" spans="1:7">
      <c r="A3" s="98" t="s">
        <v>7</v>
      </c>
      <c r="B3">
        <v>70</v>
      </c>
      <c r="C3">
        <v>75</v>
      </c>
      <c r="D3">
        <v>80</v>
      </c>
      <c r="E3">
        <v>85</v>
      </c>
      <c r="F3">
        <v>90</v>
      </c>
    </row>
    <row r="4" spans="1:7">
      <c r="A4" s="98" t="s">
        <v>8</v>
      </c>
      <c r="B4">
        <v>2.8</v>
      </c>
      <c r="C4">
        <v>2.85</v>
      </c>
      <c r="D4">
        <v>2.9</v>
      </c>
      <c r="E4">
        <v>2.95</v>
      </c>
      <c r="F4">
        <v>3</v>
      </c>
    </row>
    <row r="5" spans="1:7">
      <c r="A5" s="98" t="s">
        <v>9</v>
      </c>
      <c r="B5">
        <f>B4*1000</f>
        <v>2800</v>
      </c>
      <c r="C5">
        <f t="shared" ref="C5:F5" si="0">C4*1000</f>
        <v>2850</v>
      </c>
      <c r="D5">
        <f t="shared" si="0"/>
        <v>2900</v>
      </c>
      <c r="E5">
        <f t="shared" si="0"/>
        <v>2950</v>
      </c>
      <c r="F5">
        <f t="shared" si="0"/>
        <v>3000</v>
      </c>
    </row>
    <row r="6" spans="1:7">
      <c r="A6" s="98" t="s">
        <v>10</v>
      </c>
      <c r="B6" s="2">
        <v>16500</v>
      </c>
      <c r="C6" s="2">
        <v>17000</v>
      </c>
      <c r="D6" s="2">
        <v>17500</v>
      </c>
      <c r="E6" s="2">
        <v>18000</v>
      </c>
      <c r="F6" s="2">
        <v>18500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topLeftCell="B2" workbookViewId="0">
      <selection activeCell="F14" sqref="F14"/>
    </sheetView>
  </sheetViews>
  <sheetFormatPr defaultRowHeight="14.5"/>
  <cols>
    <col min="1" max="1" width="38.81640625" bestFit="1" customWidth="1"/>
    <col min="2" max="6" width="34" customWidth="1"/>
  </cols>
  <sheetData>
    <row r="1" spans="1:7" hidden="1">
      <c r="A1" s="1"/>
    </row>
    <row r="2" spans="1:7" ht="15.65" customHeight="1">
      <c r="A2" s="99" t="s">
        <v>11</v>
      </c>
      <c r="B2" s="5"/>
      <c r="C2" s="5"/>
      <c r="D2" s="5"/>
      <c r="E2" s="5"/>
      <c r="F2" s="5"/>
      <c r="G2" s="5"/>
    </row>
    <row r="3" spans="1:7" s="96" customFormat="1" ht="15" thickBot="1">
      <c r="A3" s="120" t="s">
        <v>12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95"/>
    </row>
    <row r="4" spans="1:7" hidden="1">
      <c r="A4" s="120"/>
      <c r="B4" s="1"/>
      <c r="C4" s="1"/>
      <c r="D4" s="1"/>
      <c r="E4" s="1"/>
      <c r="F4" s="1"/>
      <c r="G4" s="1"/>
    </row>
    <row r="5" spans="1:7">
      <c r="A5" t="s">
        <v>125</v>
      </c>
      <c r="B5">
        <v>225</v>
      </c>
      <c r="C5">
        <v>215</v>
      </c>
      <c r="D5">
        <v>205</v>
      </c>
      <c r="E5">
        <v>190</v>
      </c>
      <c r="F5">
        <v>185</v>
      </c>
    </row>
    <row r="6" spans="1:7">
      <c r="A6" t="s">
        <v>124</v>
      </c>
      <c r="B6">
        <v>90</v>
      </c>
      <c r="C6">
        <v>95</v>
      </c>
      <c r="D6">
        <v>100</v>
      </c>
      <c r="E6">
        <v>105</v>
      </c>
      <c r="F6">
        <v>110</v>
      </c>
    </row>
    <row r="7" spans="1:7" s="1" customFormat="1">
      <c r="A7" t="s">
        <v>13</v>
      </c>
      <c r="B7">
        <v>0</v>
      </c>
      <c r="C7">
        <v>40</v>
      </c>
      <c r="D7">
        <v>70</v>
      </c>
      <c r="E7">
        <v>100</v>
      </c>
      <c r="F7">
        <v>150</v>
      </c>
      <c r="G7"/>
    </row>
    <row r="8" spans="1:7">
      <c r="A8" s="1" t="s">
        <v>14</v>
      </c>
      <c r="B8" s="1">
        <f>SUM(B5:B7)</f>
        <v>315</v>
      </c>
      <c r="C8" s="1">
        <f>SUM(C5:C7)</f>
        <v>350</v>
      </c>
      <c r="D8" s="1">
        <f>SUM(D5:D7)</f>
        <v>375</v>
      </c>
      <c r="E8" s="1">
        <f>SUM(E5:E7)</f>
        <v>395</v>
      </c>
      <c r="F8" s="1">
        <f>SUM(F5:F7)</f>
        <v>445</v>
      </c>
      <c r="G8" s="1"/>
    </row>
    <row r="9" spans="1:7" s="1" customFormat="1">
      <c r="A9"/>
      <c r="B9"/>
      <c r="C9"/>
      <c r="D9"/>
      <c r="E9"/>
      <c r="F9"/>
      <c r="G9"/>
    </row>
    <row r="10" spans="1:7" ht="15" thickBot="1">
      <c r="A10" s="1" t="s">
        <v>15</v>
      </c>
      <c r="B10" s="10" t="s">
        <v>2</v>
      </c>
      <c r="C10" s="10" t="s">
        <v>3</v>
      </c>
      <c r="D10" s="10" t="s">
        <v>4</v>
      </c>
      <c r="E10" s="10" t="s">
        <v>5</v>
      </c>
      <c r="F10" s="10" t="s">
        <v>6</v>
      </c>
      <c r="G10" s="1"/>
    </row>
    <row r="11" spans="1:7">
      <c r="A11" t="s">
        <v>125</v>
      </c>
      <c r="B11">
        <v>575</v>
      </c>
      <c r="C11">
        <v>625</v>
      </c>
      <c r="D11">
        <v>700</v>
      </c>
      <c r="E11">
        <v>750</v>
      </c>
      <c r="F11">
        <v>775</v>
      </c>
    </row>
    <row r="12" spans="1:7">
      <c r="A12" t="s">
        <v>124</v>
      </c>
      <c r="B12">
        <v>220</v>
      </c>
      <c r="C12">
        <v>230</v>
      </c>
      <c r="D12">
        <v>250</v>
      </c>
      <c r="E12">
        <v>275</v>
      </c>
      <c r="F12">
        <v>300</v>
      </c>
    </row>
    <row r="13" spans="1:7" s="1" customFormat="1">
      <c r="A13" t="s">
        <v>13</v>
      </c>
      <c r="B13">
        <v>0</v>
      </c>
      <c r="C13">
        <v>57</v>
      </c>
      <c r="D13">
        <v>150</v>
      </c>
      <c r="E13">
        <v>200</v>
      </c>
      <c r="F13">
        <v>250</v>
      </c>
      <c r="G13"/>
    </row>
    <row r="14" spans="1:7">
      <c r="A14" s="1" t="s">
        <v>16</v>
      </c>
      <c r="B14" s="1">
        <f t="shared" ref="B14:F14" si="0">SUM(B11:B13)</f>
        <v>795</v>
      </c>
      <c r="C14" s="1">
        <f t="shared" si="0"/>
        <v>912</v>
      </c>
      <c r="D14" s="1">
        <f t="shared" si="0"/>
        <v>1100</v>
      </c>
      <c r="E14" s="1">
        <f t="shared" si="0"/>
        <v>1225</v>
      </c>
      <c r="F14" s="1">
        <f t="shared" si="0"/>
        <v>1325</v>
      </c>
      <c r="G14" s="1"/>
    </row>
  </sheetData>
  <mergeCells count="1">
    <mergeCell ref="A3:A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EA02-A0CC-4318-A979-ED745E32F56E}">
  <dimension ref="A1:M234"/>
  <sheetViews>
    <sheetView showGridLines="0" tabSelected="1" topLeftCell="B1" zoomScale="85" zoomScaleNormal="85" zoomScaleSheetLayoutView="70" workbookViewId="0">
      <pane ySplit="1" topLeftCell="A31" activePane="bottomLeft" state="frozen"/>
      <selection activeCell="O203" sqref="O203"/>
      <selection pane="bottomLeft" activeCell="D46" sqref="D46"/>
    </sheetView>
  </sheetViews>
  <sheetFormatPr defaultColWidth="9.1796875" defaultRowHeight="15" customHeight="1" outlineLevelRow="1"/>
  <cols>
    <col min="1" max="1" width="9.1796875" style="3" hidden="1" customWidth="1"/>
    <col min="2" max="2" width="41.1796875" style="3" customWidth="1"/>
    <col min="3" max="8" width="13.1796875" style="3" customWidth="1"/>
    <col min="9" max="9" width="10.1796875" style="3" customWidth="1"/>
    <col min="10" max="16384" width="9.1796875" style="3"/>
  </cols>
  <sheetData>
    <row r="1" spans="1:8" customFormat="1" ht="14.5" hidden="1">
      <c r="A1" s="1"/>
    </row>
    <row r="2" spans="1:8" ht="15" hidden="1" customHeight="1"/>
    <row r="3" spans="1:8" s="4" customFormat="1" ht="15" hidden="1" customHeight="1">
      <c r="C3" s="3"/>
    </row>
    <row r="4" spans="1:8" ht="15" hidden="1" customHeight="1" outlineLevel="1"/>
    <row r="5" spans="1:8" s="12" customFormat="1" ht="15" hidden="1" customHeight="1" outlineLevel="1">
      <c r="A5" s="8"/>
      <c r="B5" s="8"/>
      <c r="C5" s="8"/>
      <c r="D5" s="8"/>
      <c r="E5" s="8"/>
      <c r="F5" s="8"/>
      <c r="G5" s="8"/>
    </row>
    <row r="6" spans="1:8" ht="15" hidden="1" customHeight="1" outlineLevel="1"/>
    <row r="7" spans="1:8" ht="15" hidden="1" customHeight="1" outlineLevel="1">
      <c r="C7" s="6" t="s">
        <v>17</v>
      </c>
    </row>
    <row r="8" spans="1:8" ht="15" hidden="1" customHeight="1" outlineLevel="1"/>
    <row r="9" spans="1:8" ht="15" hidden="1" customHeight="1" outlineLevel="1"/>
    <row r="10" spans="1:8" ht="15" hidden="1" customHeight="1" outlineLevel="1">
      <c r="B10" s="15">
        <f>'[1]Model-R'!O10</f>
        <v>1</v>
      </c>
      <c r="C10" s="14" t="s">
        <v>18</v>
      </c>
    </row>
    <row r="11" spans="1:8" ht="15" hidden="1" customHeight="1" outlineLevel="1">
      <c r="B11" s="15">
        <f>'[1]Model-R'!O11</f>
        <v>1</v>
      </c>
      <c r="C11" s="14" t="s">
        <v>19</v>
      </c>
    </row>
    <row r="12" spans="1:8" ht="15" hidden="1" customHeight="1" outlineLevel="1">
      <c r="B12" s="15">
        <f>'[1]Model-R'!O12</f>
        <v>1</v>
      </c>
      <c r="C12" s="14"/>
    </row>
    <row r="13" spans="1:8" ht="15" hidden="1" customHeight="1" outlineLevel="1">
      <c r="B13" s="15">
        <f>'[1]Model-R'!O13</f>
        <v>1</v>
      </c>
      <c r="C13" s="14" t="s">
        <v>20</v>
      </c>
      <c r="E13" s="16"/>
      <c r="F13" s="16"/>
      <c r="G13" s="16"/>
      <c r="H13" s="16"/>
    </row>
    <row r="14" spans="1:8" ht="15" hidden="1" customHeight="1" outlineLevel="1">
      <c r="B14" s="15">
        <f>'[1]Model-R'!O14</f>
        <v>1</v>
      </c>
      <c r="C14" s="14"/>
    </row>
    <row r="15" spans="1:8" ht="15" hidden="1" customHeight="1" outlineLevel="1">
      <c r="B15" s="15">
        <f>'[1]Model-R'!O15</f>
        <v>1</v>
      </c>
      <c r="C15" s="14" t="s">
        <v>21</v>
      </c>
    </row>
    <row r="16" spans="1:8" ht="15" hidden="1" customHeight="1" outlineLevel="1">
      <c r="A16" s="7"/>
      <c r="B16" s="15">
        <f>'[1]Model-R'!O16</f>
        <v>1</v>
      </c>
      <c r="C16" s="14" t="s">
        <v>22</v>
      </c>
    </row>
    <row r="17" spans="1:9" ht="15" hidden="1" customHeight="1" outlineLevel="1">
      <c r="B17" s="15">
        <f>'[1]Model-R'!O17</f>
        <v>1</v>
      </c>
      <c r="C17" s="14"/>
    </row>
    <row r="18" spans="1:9" ht="15" hidden="1" customHeight="1" outlineLevel="1">
      <c r="C18" s="14"/>
    </row>
    <row r="19" spans="1:9" ht="15" hidden="1" customHeight="1" outlineLevel="1">
      <c r="C19" s="14"/>
    </row>
    <row r="20" spans="1:9" ht="15" hidden="1" customHeight="1" outlineLevel="1">
      <c r="B20" s="15">
        <f>'[1]Model-R'!O20</f>
        <v>1</v>
      </c>
      <c r="C20" s="14" t="s">
        <v>23</v>
      </c>
    </row>
    <row r="21" spans="1:9" ht="15" hidden="1" customHeight="1" outlineLevel="1">
      <c r="B21" s="15">
        <f>'[1]Model-R'!O21</f>
        <v>1</v>
      </c>
      <c r="C21" s="14" t="s">
        <v>24</v>
      </c>
    </row>
    <row r="22" spans="1:9" ht="15" hidden="1" customHeight="1" outlineLevel="1">
      <c r="B22" s="15">
        <f>'[1]Model-R'!O22</f>
        <v>1</v>
      </c>
      <c r="C22" s="14" t="s">
        <v>25</v>
      </c>
    </row>
    <row r="23" spans="1:9" ht="15" hidden="1" customHeight="1" outlineLevel="1">
      <c r="B23" s="15">
        <f>'[1]Model-R'!O23</f>
        <v>1</v>
      </c>
      <c r="C23" s="14" t="s">
        <v>26</v>
      </c>
    </row>
    <row r="24" spans="1:9" ht="15" hidden="1" customHeight="1" outlineLevel="1">
      <c r="B24" s="15">
        <f>'[1]Model-R'!O24</f>
        <v>1</v>
      </c>
      <c r="C24" s="14" t="s">
        <v>27</v>
      </c>
    </row>
    <row r="25" spans="1:9" ht="15" hidden="1" customHeight="1" outlineLevel="1">
      <c r="B25" s="15">
        <f>'[1]Model-R'!O25</f>
        <v>1</v>
      </c>
      <c r="C25" s="14" t="s">
        <v>28</v>
      </c>
    </row>
    <row r="26" spans="1:9" ht="15" hidden="1" customHeight="1" outlineLevel="1">
      <c r="B26" s="15">
        <f>'[1]Model-R'!O26</f>
        <v>1</v>
      </c>
      <c r="C26" s="14" t="s">
        <v>28</v>
      </c>
    </row>
    <row r="27" spans="1:9" ht="15" hidden="1" customHeight="1" outlineLevel="1">
      <c r="B27" s="15">
        <f>'[1]Model-R'!O27</f>
        <v>1</v>
      </c>
      <c r="C27" s="20"/>
    </row>
    <row r="28" spans="1:9" ht="15" hidden="1" customHeight="1" outlineLevel="1">
      <c r="C28" s="20"/>
    </row>
    <row r="29" spans="1:9" ht="15" hidden="1" customHeight="1" outlineLevel="1">
      <c r="C29" s="20"/>
    </row>
    <row r="30" spans="1:9" ht="15" hidden="1" customHeight="1" collapsed="1">
      <c r="G30" s="7"/>
      <c r="H30" s="7"/>
      <c r="I30" s="20"/>
    </row>
    <row r="31" spans="1:9" s="4" customFormat="1" ht="15" customHeight="1">
      <c r="A31" s="4" t="s">
        <v>29</v>
      </c>
      <c r="B31" s="99" t="s">
        <v>30</v>
      </c>
      <c r="C31" s="5"/>
      <c r="D31" s="5"/>
      <c r="E31" s="5"/>
      <c r="F31" s="5"/>
      <c r="G31" s="5"/>
      <c r="H31" s="5"/>
    </row>
    <row r="32" spans="1:9" s="4" customFormat="1" ht="15" customHeight="1" outlineLevel="1">
      <c r="B32" s="22"/>
      <c r="C32" s="22"/>
      <c r="D32" s="22"/>
      <c r="E32" s="22"/>
      <c r="F32" s="22"/>
      <c r="G32" s="22"/>
      <c r="H32" s="22"/>
    </row>
    <row r="33" spans="1:13" s="12" customFormat="1" ht="15" customHeight="1" outlineLevel="1">
      <c r="A33" s="8"/>
      <c r="B33" s="100" t="s">
        <v>31</v>
      </c>
      <c r="C33" s="101"/>
      <c r="D33" s="102" t="s">
        <v>2</v>
      </c>
      <c r="E33" s="102" t="s">
        <v>3</v>
      </c>
      <c r="F33" s="102" t="s">
        <v>4</v>
      </c>
      <c r="G33" s="102" t="s">
        <v>5</v>
      </c>
      <c r="H33" s="102" t="s">
        <v>6</v>
      </c>
      <c r="I33" s="8"/>
      <c r="J33" s="8"/>
      <c r="K33" s="8"/>
      <c r="L33" s="8"/>
      <c r="M33" s="8"/>
    </row>
    <row r="34" spans="1:13" ht="15" customHeight="1" outlineLevel="1">
      <c r="B34" s="103"/>
      <c r="C34" s="103"/>
      <c r="D34" s="104"/>
      <c r="E34" s="104"/>
      <c r="F34" s="104"/>
      <c r="G34" s="105"/>
      <c r="H34" s="105"/>
    </row>
    <row r="35" spans="1:13" s="6" customFormat="1" ht="15" customHeight="1" outlineLevel="1">
      <c r="B35" s="106" t="s">
        <v>32</v>
      </c>
      <c r="C35" s="106"/>
      <c r="D35" s="118">
        <f>Operasional!B8*365*'Key Assumptions RJPP'!B3+Operasional!B14*365*'Key Assumptions RJPP'!B5/1000</f>
        <v>8860740</v>
      </c>
      <c r="E35" s="108">
        <f>Operasional!C8*365*'Key Assumptions RJPP'!C3+Operasional!C14*365*'Key Assumptions RJPP'!C5/1000</f>
        <v>10529958</v>
      </c>
      <c r="F35" s="108">
        <f>Operasional!D8*365*'Key Assumptions RJPP'!D3+Operasional!D14*365*'Key Assumptions RJPP'!D5/1000</f>
        <v>12114350</v>
      </c>
      <c r="G35" s="109">
        <f>Operasional!E8*365*'Key Assumptions RJPP'!E3+Operasional!E14*365*'Key Assumptions RJPP'!E5/1000</f>
        <v>13573893.75</v>
      </c>
      <c r="H35" s="109">
        <f>Operasional!F8*365*'Key Assumptions RJPP'!F3+Operasional!F14*365*'Key Assumptions RJPP'!F5/1000</f>
        <v>16069125</v>
      </c>
    </row>
    <row r="36" spans="1:13" ht="15" customHeight="1" outlineLevel="1">
      <c r="B36" s="107" t="s">
        <v>33</v>
      </c>
      <c r="C36" s="107"/>
      <c r="D36" s="119">
        <v>-4000000</v>
      </c>
      <c r="E36" s="119">
        <v>-5000000</v>
      </c>
      <c r="F36" s="119">
        <v>-6000000</v>
      </c>
      <c r="G36" s="119">
        <v>-7000000</v>
      </c>
      <c r="H36" s="119">
        <v>-8400000</v>
      </c>
    </row>
    <row r="37" spans="1:13" ht="15" customHeight="1" outlineLevel="1">
      <c r="B37" s="106" t="s">
        <v>34</v>
      </c>
      <c r="C37" s="106"/>
      <c r="D37" s="112">
        <f t="shared" ref="D37:H37" si="0">SUM(D35:D36)</f>
        <v>4860740</v>
      </c>
      <c r="E37" s="112">
        <f t="shared" si="0"/>
        <v>5529958</v>
      </c>
      <c r="F37" s="112">
        <f t="shared" si="0"/>
        <v>6114350</v>
      </c>
      <c r="G37" s="112">
        <f t="shared" si="0"/>
        <v>6573893.75</v>
      </c>
      <c r="H37" s="112">
        <f t="shared" si="0"/>
        <v>7669125</v>
      </c>
    </row>
    <row r="38" spans="1:13" ht="15" customHeight="1" outlineLevel="1">
      <c r="B38" s="106"/>
      <c r="C38" s="106"/>
      <c r="D38" s="108"/>
      <c r="E38" s="108"/>
      <c r="F38" s="108"/>
      <c r="G38" s="113"/>
      <c r="H38" s="108"/>
    </row>
    <row r="39" spans="1:13" ht="15" customHeight="1" outlineLevel="1">
      <c r="B39" s="107" t="s">
        <v>35</v>
      </c>
      <c r="C39" s="107"/>
      <c r="D39" s="110">
        <v>-1350000</v>
      </c>
      <c r="E39" s="110">
        <v>-1687500</v>
      </c>
      <c r="F39" s="110">
        <v>-1968750</v>
      </c>
      <c r="G39" s="111">
        <v>-2193750</v>
      </c>
      <c r="H39" s="111">
        <v>-2475000</v>
      </c>
    </row>
    <row r="40" spans="1:13" s="6" customFormat="1" ht="15" customHeight="1" outlineLevel="1">
      <c r="B40" s="106" t="s">
        <v>36</v>
      </c>
      <c r="C40" s="106"/>
      <c r="D40" s="112">
        <f t="shared" ref="D40:H40" si="1">SUM(D37:D39)</f>
        <v>3510740</v>
      </c>
      <c r="E40" s="112">
        <f t="shared" si="1"/>
        <v>3842458</v>
      </c>
      <c r="F40" s="112">
        <f t="shared" si="1"/>
        <v>4145600</v>
      </c>
      <c r="G40" s="112">
        <f t="shared" si="1"/>
        <v>4380143.75</v>
      </c>
      <c r="H40" s="112">
        <f t="shared" si="1"/>
        <v>5194125</v>
      </c>
    </row>
    <row r="41" spans="1:13" s="6" customFormat="1" ht="15" customHeight="1" outlineLevel="1">
      <c r="B41" s="106"/>
      <c r="C41" s="106"/>
      <c r="D41" s="108"/>
      <c r="E41" s="108"/>
      <c r="F41" s="108"/>
      <c r="G41" s="109"/>
      <c r="H41" s="109"/>
    </row>
    <row r="42" spans="1:13" ht="15" customHeight="1" outlineLevel="1">
      <c r="B42" s="107" t="s">
        <v>123</v>
      </c>
      <c r="C42" s="107"/>
      <c r="D42" s="110">
        <v>-1000000</v>
      </c>
      <c r="E42" s="110">
        <v>-1150000</v>
      </c>
      <c r="F42" s="110">
        <v>-1300000</v>
      </c>
      <c r="G42" s="111">
        <v>-1500000</v>
      </c>
      <c r="H42" s="111">
        <v>-1750000</v>
      </c>
    </row>
    <row r="43" spans="1:13" ht="15" customHeight="1" outlineLevel="1">
      <c r="B43" s="106" t="s">
        <v>37</v>
      </c>
      <c r="C43" s="106"/>
      <c r="D43" s="112">
        <f t="shared" ref="D43:H43" si="2">SUM(D40:D42)</f>
        <v>2510740</v>
      </c>
      <c r="E43" s="112">
        <f t="shared" si="2"/>
        <v>2692458</v>
      </c>
      <c r="F43" s="112">
        <f t="shared" si="2"/>
        <v>2845600</v>
      </c>
      <c r="G43" s="112">
        <f t="shared" si="2"/>
        <v>2880143.75</v>
      </c>
      <c r="H43" s="112">
        <f t="shared" si="2"/>
        <v>3444125</v>
      </c>
    </row>
    <row r="44" spans="1:13" ht="15" customHeight="1" outlineLevel="1">
      <c r="B44" s="106"/>
      <c r="C44" s="106"/>
      <c r="D44" s="108"/>
      <c r="E44" s="108"/>
      <c r="F44" s="108"/>
      <c r="G44" s="108"/>
      <c r="H44" s="108"/>
    </row>
    <row r="45" spans="1:13" ht="15" customHeight="1" outlineLevel="1">
      <c r="B45" s="107" t="s">
        <v>38</v>
      </c>
      <c r="C45" s="107"/>
      <c r="D45" s="110">
        <v>-150000</v>
      </c>
      <c r="E45" s="110">
        <v>-175000</v>
      </c>
      <c r="F45" s="110">
        <v>-200000</v>
      </c>
      <c r="G45" s="111">
        <v>-225000</v>
      </c>
      <c r="H45" s="111">
        <v>-250000</v>
      </c>
    </row>
    <row r="46" spans="1:13" ht="15" customHeight="1" outlineLevel="1">
      <c r="B46" s="106" t="s">
        <v>39</v>
      </c>
      <c r="C46" s="107"/>
      <c r="D46" s="112">
        <f t="shared" ref="D46:H46" si="3">SUM(D43:D45)</f>
        <v>2360740</v>
      </c>
      <c r="E46" s="112">
        <f t="shared" si="3"/>
        <v>2517458</v>
      </c>
      <c r="F46" s="112">
        <f t="shared" si="3"/>
        <v>2645600</v>
      </c>
      <c r="G46" s="112">
        <f t="shared" si="3"/>
        <v>2655143.75</v>
      </c>
      <c r="H46" s="112">
        <f t="shared" si="3"/>
        <v>3194125</v>
      </c>
    </row>
    <row r="47" spans="1:13" ht="15" customHeight="1" outlineLevel="1">
      <c r="B47" s="107"/>
      <c r="C47" s="107"/>
      <c r="D47" s="110"/>
      <c r="E47" s="110"/>
      <c r="F47" s="110"/>
      <c r="G47" s="110"/>
      <c r="H47" s="110"/>
    </row>
    <row r="48" spans="1:13" ht="15" customHeight="1" outlineLevel="1">
      <c r="B48" s="107" t="s">
        <v>40</v>
      </c>
      <c r="C48" s="107"/>
      <c r="D48" s="110">
        <f t="shared" ref="D48:H48" si="4">-D46*22%</f>
        <v>-519362.8</v>
      </c>
      <c r="E48" s="110">
        <f t="shared" si="4"/>
        <v>-553840.76</v>
      </c>
      <c r="F48" s="110">
        <f t="shared" si="4"/>
        <v>-582032</v>
      </c>
      <c r="G48" s="111">
        <f t="shared" si="4"/>
        <v>-584131.625</v>
      </c>
      <c r="H48" s="111">
        <f t="shared" si="4"/>
        <v>-702707.5</v>
      </c>
      <c r="I48" s="17"/>
    </row>
    <row r="49" spans="1:9" ht="15" customHeight="1" outlineLevel="1">
      <c r="B49" s="106" t="s">
        <v>41</v>
      </c>
      <c r="C49" s="106"/>
      <c r="D49" s="114">
        <f t="shared" ref="D49:H49" si="5">SUM(D46:D48)</f>
        <v>1841377.2</v>
      </c>
      <c r="E49" s="114">
        <f t="shared" si="5"/>
        <v>1963617.24</v>
      </c>
      <c r="F49" s="114">
        <f t="shared" si="5"/>
        <v>2063568</v>
      </c>
      <c r="G49" s="114">
        <f t="shared" si="5"/>
        <v>2071012.125</v>
      </c>
      <c r="H49" s="114">
        <f t="shared" si="5"/>
        <v>2491417.5</v>
      </c>
    </row>
    <row r="50" spans="1:9" ht="15" customHeight="1" outlineLevel="1">
      <c r="B50" s="6"/>
      <c r="C50" s="6"/>
      <c r="D50" s="24"/>
      <c r="E50" s="24"/>
      <c r="F50" s="24"/>
      <c r="G50" s="25"/>
      <c r="H50" s="25"/>
    </row>
    <row r="51" spans="1:9" ht="15" hidden="1" customHeight="1" outlineLevel="1">
      <c r="B51" s="3" t="s">
        <v>42</v>
      </c>
      <c r="D51" s="13">
        <v>4312</v>
      </c>
      <c r="E51" s="13">
        <v>4209</v>
      </c>
      <c r="F51" s="13">
        <v>2930.9750848000026</v>
      </c>
      <c r="G51" s="19" t="e">
        <f>#REF!*G49</f>
        <v>#REF!</v>
      </c>
      <c r="H51" s="19" t="e">
        <f>#REF!*H49</f>
        <v>#REF!</v>
      </c>
      <c r="I51" s="14" t="s">
        <v>43</v>
      </c>
    </row>
    <row r="52" spans="1:9" ht="15" customHeight="1" outlineLevel="1">
      <c r="D52" s="13"/>
      <c r="E52" s="13"/>
      <c r="F52" s="13"/>
      <c r="G52" s="26"/>
      <c r="H52" s="26"/>
    </row>
    <row r="53" spans="1:9" ht="15" customHeight="1" outlineLevel="1">
      <c r="B53" s="21"/>
      <c r="C53" s="21"/>
      <c r="D53" s="27"/>
      <c r="E53" s="27"/>
      <c r="F53" s="27"/>
      <c r="G53" s="28"/>
      <c r="H53" s="28"/>
    </row>
    <row r="54" spans="1:9" ht="15" hidden="1" customHeight="1">
      <c r="G54" s="7"/>
      <c r="H54" s="7"/>
    </row>
    <row r="55" spans="1:9" s="4" customFormat="1" ht="15" hidden="1" customHeight="1">
      <c r="A55" s="4" t="s">
        <v>29</v>
      </c>
      <c r="B55" s="5" t="s">
        <v>44</v>
      </c>
      <c r="C55" s="5"/>
      <c r="D55" s="5"/>
      <c r="E55" s="5"/>
      <c r="F55" s="5"/>
      <c r="G55" s="5"/>
      <c r="H55" s="5"/>
    </row>
    <row r="56" spans="1:9" s="4" customFormat="1" ht="15" hidden="1" customHeight="1" outlineLevel="1">
      <c r="B56" s="22"/>
      <c r="C56" s="22"/>
      <c r="D56" s="22"/>
      <c r="E56" s="22"/>
      <c r="F56" s="22"/>
      <c r="G56" s="22"/>
      <c r="H56" s="22"/>
    </row>
    <row r="57" spans="1:9" ht="15" hidden="1" customHeight="1" outlineLevel="1">
      <c r="B57" s="9" t="s">
        <v>31</v>
      </c>
      <c r="C57" s="9"/>
      <c r="D57" s="10" t="e">
        <f>+#REF!</f>
        <v>#REF!</v>
      </c>
      <c r="E57" s="10" t="e">
        <f>+#REF!</f>
        <v>#REF!</v>
      </c>
      <c r="F57" s="10" t="e">
        <f>+#REF!</f>
        <v>#REF!</v>
      </c>
      <c r="G57" s="11" t="e">
        <f>+#REF!</f>
        <v>#REF!</v>
      </c>
      <c r="H57" s="11" t="e">
        <f>+#REF!</f>
        <v>#REF!</v>
      </c>
    </row>
    <row r="58" spans="1:9" ht="15" hidden="1" customHeight="1" outlineLevel="1">
      <c r="B58" s="9"/>
      <c r="C58" s="9"/>
      <c r="D58" s="29"/>
      <c r="E58" s="29"/>
      <c r="F58" s="29"/>
      <c r="G58" s="30"/>
      <c r="H58" s="30"/>
    </row>
    <row r="59" spans="1:9" ht="15" hidden="1" customHeight="1" outlineLevel="1">
      <c r="B59" s="6" t="s">
        <v>45</v>
      </c>
      <c r="C59" s="6"/>
      <c r="D59" s="31"/>
      <c r="E59" s="31"/>
      <c r="F59" s="31"/>
      <c r="G59" s="7"/>
      <c r="H59" s="7"/>
    </row>
    <row r="60" spans="1:9" ht="15" hidden="1" customHeight="1" outlineLevel="1">
      <c r="B60" s="14" t="s">
        <v>46</v>
      </c>
      <c r="D60" s="19"/>
      <c r="E60" s="19"/>
      <c r="F60" s="19"/>
      <c r="G60" s="19"/>
      <c r="H60" s="19"/>
    </row>
    <row r="61" spans="1:9" ht="15" hidden="1" customHeight="1" outlineLevel="1">
      <c r="B61" s="14" t="s">
        <v>47</v>
      </c>
      <c r="D61" s="13">
        <v>12685</v>
      </c>
      <c r="E61" s="13">
        <v>14074</v>
      </c>
      <c r="F61" s="13">
        <v>14721.208547945205</v>
      </c>
      <c r="G61" s="19" t="e">
        <f>G133</f>
        <v>#REF!</v>
      </c>
      <c r="H61" s="19" t="e">
        <f t="shared" ref="H61:H62" si="6">H133</f>
        <v>#REF!</v>
      </c>
    </row>
    <row r="62" spans="1:9" ht="15" hidden="1" customHeight="1" outlineLevel="1">
      <c r="B62" s="14" t="s">
        <v>48</v>
      </c>
      <c r="D62" s="13">
        <v>7168</v>
      </c>
      <c r="E62" s="13">
        <v>7691</v>
      </c>
      <c r="F62" s="13">
        <v>8036.3318794520546</v>
      </c>
      <c r="G62" s="19" t="e">
        <f>G134</f>
        <v>#REF!</v>
      </c>
      <c r="H62" s="19" t="e">
        <f t="shared" si="6"/>
        <v>#REF!</v>
      </c>
      <c r="I62" s="32"/>
    </row>
    <row r="63" spans="1:9" ht="15" hidden="1" customHeight="1" outlineLevel="1">
      <c r="B63" s="14" t="s">
        <v>49</v>
      </c>
      <c r="D63" s="33">
        <f>SUM(D60:D62)</f>
        <v>19853</v>
      </c>
      <c r="E63" s="33">
        <f t="shared" ref="E63:H63" si="7">SUM(E60:E62)</f>
        <v>21765</v>
      </c>
      <c r="F63" s="33">
        <f t="shared" si="7"/>
        <v>22757.54042739726</v>
      </c>
      <c r="G63" s="33" t="e">
        <f t="shared" si="7"/>
        <v>#REF!</v>
      </c>
      <c r="H63" s="33" t="e">
        <f t="shared" si="7"/>
        <v>#REF!</v>
      </c>
      <c r="I63" s="34"/>
    </row>
    <row r="64" spans="1:9" ht="15" hidden="1" customHeight="1" outlineLevel="1">
      <c r="B64" s="23"/>
      <c r="C64" s="6"/>
      <c r="D64" s="35"/>
      <c r="E64" s="35"/>
      <c r="F64" s="35"/>
      <c r="G64" s="36"/>
      <c r="H64" s="36"/>
      <c r="I64" s="32"/>
    </row>
    <row r="65" spans="2:9" ht="15" hidden="1" customHeight="1" outlineLevel="1">
      <c r="B65" s="14" t="s">
        <v>50</v>
      </c>
      <c r="D65" s="13">
        <v>19262.999999999996</v>
      </c>
      <c r="E65" s="13">
        <v>20371</v>
      </c>
      <c r="F65" s="13">
        <v>21175.000000000004</v>
      </c>
      <c r="G65" s="19" t="e">
        <f t="shared" ref="G65:H65" si="8">G153</f>
        <v>#REF!</v>
      </c>
      <c r="H65" s="19" t="e">
        <f t="shared" si="8"/>
        <v>#REF!</v>
      </c>
      <c r="I65" s="32"/>
    </row>
    <row r="66" spans="2:9" ht="15" hidden="1" customHeight="1" outlineLevel="1">
      <c r="B66" s="14"/>
      <c r="D66" s="13"/>
      <c r="E66" s="13"/>
      <c r="F66" s="13"/>
      <c r="G66" s="26"/>
      <c r="H66" s="26"/>
      <c r="I66" s="32"/>
    </row>
    <row r="67" spans="2:9" ht="15" hidden="1" customHeight="1" outlineLevel="1">
      <c r="B67" s="23" t="s">
        <v>51</v>
      </c>
      <c r="C67" s="6"/>
      <c r="D67" s="37">
        <f>SUM(D65,D63)</f>
        <v>39116</v>
      </c>
      <c r="E67" s="37">
        <f t="shared" ref="E67:H67" si="9">SUM(E65,E63)</f>
        <v>42136</v>
      </c>
      <c r="F67" s="37">
        <f t="shared" si="9"/>
        <v>43932.540427397267</v>
      </c>
      <c r="G67" s="37" t="e">
        <f t="shared" si="9"/>
        <v>#REF!</v>
      </c>
      <c r="H67" s="37" t="e">
        <f t="shared" si="9"/>
        <v>#REF!</v>
      </c>
      <c r="I67" s="38"/>
    </row>
    <row r="68" spans="2:9" ht="15" hidden="1" customHeight="1" outlineLevel="1">
      <c r="D68" s="35"/>
      <c r="E68" s="35"/>
      <c r="F68" s="35"/>
      <c r="G68" s="36"/>
      <c r="H68" s="36"/>
      <c r="I68" s="32"/>
    </row>
    <row r="69" spans="2:9" ht="15" hidden="1" customHeight="1" outlineLevel="1">
      <c r="B69" s="6" t="s">
        <v>52</v>
      </c>
      <c r="C69" s="6"/>
      <c r="D69" s="35"/>
      <c r="E69" s="35"/>
      <c r="F69" s="35"/>
      <c r="G69" s="36"/>
      <c r="H69" s="36"/>
      <c r="I69" s="32"/>
    </row>
    <row r="70" spans="2:9" ht="15" hidden="1" customHeight="1" outlineLevel="1">
      <c r="B70" s="14" t="s">
        <v>53</v>
      </c>
      <c r="D70" s="13">
        <v>10001</v>
      </c>
      <c r="E70" s="13">
        <v>10504</v>
      </c>
      <c r="F70" s="13">
        <v>11077.106104109589</v>
      </c>
      <c r="G70" s="19" t="e">
        <f>G135</f>
        <v>#REF!</v>
      </c>
      <c r="H70" s="19" t="e">
        <f t="shared" ref="H70:H71" si="10">H135</f>
        <v>#REF!</v>
      </c>
      <c r="I70" s="32"/>
    </row>
    <row r="71" spans="2:9" ht="15" hidden="1" customHeight="1" outlineLevel="1">
      <c r="B71" s="14" t="s">
        <v>54</v>
      </c>
      <c r="D71" s="13">
        <v>1088</v>
      </c>
      <c r="E71" s="13">
        <v>894</v>
      </c>
      <c r="F71" s="13">
        <v>581</v>
      </c>
      <c r="G71" s="19" t="e">
        <f>G136</f>
        <v>#REF!</v>
      </c>
      <c r="H71" s="19" t="e">
        <f t="shared" si="10"/>
        <v>#REF!</v>
      </c>
    </row>
    <row r="72" spans="2:9" ht="15" hidden="1" customHeight="1" outlineLevel="1">
      <c r="B72" s="14" t="s">
        <v>55</v>
      </c>
      <c r="D72" s="33">
        <f>SUM(D70:D71)</f>
        <v>11089</v>
      </c>
      <c r="E72" s="33">
        <f t="shared" ref="E72:H72" si="11">SUM(E70:E71)</f>
        <v>11398</v>
      </c>
      <c r="F72" s="33">
        <f t="shared" si="11"/>
        <v>11658.106104109589</v>
      </c>
      <c r="G72" s="33" t="e">
        <f t="shared" si="11"/>
        <v>#REF!</v>
      </c>
      <c r="H72" s="33" t="e">
        <f t="shared" si="11"/>
        <v>#REF!</v>
      </c>
      <c r="I72" s="34"/>
    </row>
    <row r="73" spans="2:9" ht="15" hidden="1" customHeight="1" outlineLevel="1">
      <c r="B73" s="23"/>
      <c r="C73" s="6"/>
      <c r="D73" s="35"/>
      <c r="E73" s="35"/>
      <c r="F73" s="35"/>
      <c r="G73" s="36"/>
      <c r="H73" s="36"/>
      <c r="I73" s="32"/>
    </row>
    <row r="74" spans="2:9" ht="15" hidden="1" customHeight="1" outlineLevel="1">
      <c r="B74" s="14" t="s">
        <v>56</v>
      </c>
      <c r="D74" s="13">
        <v>20000</v>
      </c>
      <c r="E74" s="13">
        <v>20000</v>
      </c>
      <c r="F74" s="13">
        <v>20000</v>
      </c>
      <c r="G74" s="19" t="e">
        <f>#REF!</f>
        <v>#REF!</v>
      </c>
      <c r="H74" s="19" t="e">
        <f>#REF!</f>
        <v>#REF!</v>
      </c>
    </row>
    <row r="75" spans="2:9" ht="15" hidden="1" customHeight="1" outlineLevel="1">
      <c r="B75" s="14" t="s">
        <v>57</v>
      </c>
      <c r="C75" s="20"/>
      <c r="D75" s="33">
        <f>SUM(D72,D74)</f>
        <v>31089</v>
      </c>
      <c r="E75" s="33">
        <f t="shared" ref="E75:H75" si="12">SUM(E72,E74)</f>
        <v>31398</v>
      </c>
      <c r="F75" s="33">
        <f t="shared" si="12"/>
        <v>31658.106104109589</v>
      </c>
      <c r="G75" s="33" t="e">
        <f t="shared" si="12"/>
        <v>#REF!</v>
      </c>
      <c r="H75" s="33" t="e">
        <f t="shared" si="12"/>
        <v>#REF!</v>
      </c>
      <c r="I75" s="32"/>
    </row>
    <row r="76" spans="2:9" ht="15" hidden="1" customHeight="1" outlineLevel="1">
      <c r="D76" s="13"/>
      <c r="E76" s="13"/>
      <c r="F76" s="13"/>
      <c r="G76" s="26"/>
      <c r="H76" s="26"/>
      <c r="I76" s="32"/>
    </row>
    <row r="77" spans="2:9" ht="15" hidden="1" customHeight="1" outlineLevel="1">
      <c r="B77" s="6" t="s">
        <v>58</v>
      </c>
      <c r="C77" s="6"/>
      <c r="D77" s="35"/>
      <c r="E77" s="35"/>
      <c r="F77" s="35"/>
      <c r="G77" s="36"/>
      <c r="H77" s="36"/>
      <c r="I77" s="32"/>
    </row>
    <row r="78" spans="2:9" ht="15" hidden="1" customHeight="1" outlineLevel="1">
      <c r="B78" s="14" t="s">
        <v>59</v>
      </c>
      <c r="D78" s="13">
        <v>7627</v>
      </c>
      <c r="E78" s="13">
        <v>7627</v>
      </c>
      <c r="F78" s="13">
        <v>7627</v>
      </c>
      <c r="G78" s="19" t="e">
        <f>G174</f>
        <v>#REF!</v>
      </c>
      <c r="H78" s="19" t="e">
        <f t="shared" ref="H78" si="13">H174</f>
        <v>#REF!</v>
      </c>
    </row>
    <row r="79" spans="2:9" ht="15" hidden="1" customHeight="1" outlineLevel="1">
      <c r="B79" s="14" t="s">
        <v>60</v>
      </c>
      <c r="D79" s="13">
        <v>5689</v>
      </c>
      <c r="E79" s="13">
        <v>9029</v>
      </c>
      <c r="F79" s="13">
        <v>14806.217771200003</v>
      </c>
      <c r="G79" s="19" t="e">
        <f>G183</f>
        <v>#REF!</v>
      </c>
      <c r="H79" s="19" t="e">
        <f t="shared" ref="H79" si="14">H183</f>
        <v>#REF!</v>
      </c>
      <c r="I79" s="32"/>
    </row>
    <row r="80" spans="2:9" ht="15" hidden="1" customHeight="1" outlineLevel="1">
      <c r="B80" s="23" t="s">
        <v>61</v>
      </c>
      <c r="C80" s="6"/>
      <c r="D80" s="39">
        <f>SUM(D78:D79)</f>
        <v>13316</v>
      </c>
      <c r="E80" s="39">
        <f t="shared" ref="E80:H80" si="15">SUM(E78:E79)</f>
        <v>16656</v>
      </c>
      <c r="F80" s="39">
        <f t="shared" si="15"/>
        <v>22433.217771200005</v>
      </c>
      <c r="G80" s="39" t="e">
        <f t="shared" si="15"/>
        <v>#REF!</v>
      </c>
      <c r="H80" s="39" t="e">
        <f t="shared" si="15"/>
        <v>#REF!</v>
      </c>
      <c r="I80" s="38"/>
    </row>
    <row r="81" spans="1:9" ht="15" hidden="1" customHeight="1" outlineLevel="1">
      <c r="B81" s="23"/>
      <c r="C81" s="6"/>
      <c r="D81" s="40"/>
      <c r="E81" s="40"/>
      <c r="F81" s="40"/>
      <c r="G81" s="40"/>
      <c r="H81" s="40"/>
      <c r="I81" s="38"/>
    </row>
    <row r="82" spans="1:9" ht="15" hidden="1" customHeight="1" outlineLevel="1">
      <c r="B82" s="23" t="s">
        <v>62</v>
      </c>
      <c r="D82" s="37">
        <f>SUM(D75,D80)</f>
        <v>44405</v>
      </c>
      <c r="E82" s="37">
        <f t="shared" ref="E82:H82" si="16">SUM(E75,E80)</f>
        <v>48054</v>
      </c>
      <c r="F82" s="37">
        <f t="shared" si="16"/>
        <v>54091.323875309594</v>
      </c>
      <c r="G82" s="37" t="e">
        <f t="shared" si="16"/>
        <v>#REF!</v>
      </c>
      <c r="H82" s="37" t="e">
        <f t="shared" si="16"/>
        <v>#REF!</v>
      </c>
      <c r="I82" s="38"/>
    </row>
    <row r="83" spans="1:9" ht="15" hidden="1" customHeight="1" outlineLevel="1">
      <c r="B83" s="14"/>
      <c r="D83" s="36"/>
      <c r="E83" s="36"/>
      <c r="F83" s="36"/>
      <c r="G83" s="36"/>
      <c r="H83" s="36"/>
      <c r="I83" s="41"/>
    </row>
    <row r="84" spans="1:9" ht="15" hidden="1" customHeight="1" outlineLevel="1">
      <c r="B84" s="42" t="s">
        <v>63</v>
      </c>
      <c r="C84" s="43"/>
      <c r="D84" s="19" t="b">
        <f>D82=D67</f>
        <v>0</v>
      </c>
      <c r="E84" s="19" t="b">
        <f t="shared" ref="E84:H84" si="17">E82=E67</f>
        <v>0</v>
      </c>
      <c r="F84" s="19" t="b">
        <f t="shared" si="17"/>
        <v>0</v>
      </c>
      <c r="G84" s="19" t="e">
        <f t="shared" si="17"/>
        <v>#REF!</v>
      </c>
      <c r="H84" s="19" t="e">
        <f t="shared" si="17"/>
        <v>#REF!</v>
      </c>
      <c r="I84" s="44"/>
    </row>
    <row r="85" spans="1:9" ht="15" hidden="1" customHeight="1" outlineLevel="1">
      <c r="B85" s="43"/>
      <c r="C85" s="43"/>
      <c r="D85" s="26"/>
      <c r="E85" s="26"/>
      <c r="F85" s="26"/>
      <c r="G85" s="26"/>
      <c r="H85" s="26"/>
      <c r="I85" s="32"/>
    </row>
    <row r="86" spans="1:9" ht="15" hidden="1" customHeight="1" outlineLevel="1">
      <c r="B86" s="45"/>
      <c r="C86" s="45"/>
      <c r="D86" s="46"/>
      <c r="E86" s="46"/>
      <c r="F86" s="46"/>
      <c r="G86" s="46"/>
      <c r="H86" s="46"/>
      <c r="I86" s="32"/>
    </row>
    <row r="87" spans="1:9" ht="15" hidden="1" customHeight="1" collapsed="1">
      <c r="D87" s="36"/>
      <c r="E87" s="26"/>
      <c r="F87" s="26"/>
      <c r="G87" s="26"/>
      <c r="H87" s="26"/>
      <c r="I87" s="32"/>
    </row>
    <row r="88" spans="1:9" s="4" customFormat="1" ht="15" hidden="1" customHeight="1">
      <c r="A88" s="4" t="s">
        <v>29</v>
      </c>
      <c r="B88" s="5" t="s">
        <v>64</v>
      </c>
      <c r="C88" s="5"/>
      <c r="D88" s="5"/>
      <c r="E88" s="5"/>
      <c r="F88" s="5"/>
      <c r="G88" s="5"/>
      <c r="H88" s="5"/>
    </row>
    <row r="89" spans="1:9" s="4" customFormat="1" ht="15" hidden="1" customHeight="1" outlineLevel="1">
      <c r="B89" s="22"/>
      <c r="C89" s="22"/>
      <c r="D89" s="47"/>
      <c r="E89" s="47"/>
      <c r="F89" s="47"/>
      <c r="G89" s="47"/>
      <c r="H89" s="47"/>
    </row>
    <row r="90" spans="1:9" ht="15" hidden="1" customHeight="1" outlineLevel="1">
      <c r="B90" s="9" t="s">
        <v>31</v>
      </c>
      <c r="C90" s="9"/>
      <c r="D90" s="10" t="e">
        <f>+#REF!</f>
        <v>#REF!</v>
      </c>
      <c r="E90" s="10" t="e">
        <f>+#REF!</f>
        <v>#REF!</v>
      </c>
      <c r="F90" s="10" t="e">
        <f>+#REF!</f>
        <v>#REF!</v>
      </c>
      <c r="G90" s="11" t="e">
        <f>+#REF!</f>
        <v>#REF!</v>
      </c>
      <c r="H90" s="11" t="e">
        <f>+#REF!</f>
        <v>#REF!</v>
      </c>
      <c r="I90" s="4"/>
    </row>
    <row r="91" spans="1:9" ht="15" hidden="1" customHeight="1" outlineLevel="1">
      <c r="B91" s="9"/>
      <c r="C91" s="9"/>
      <c r="D91" s="48"/>
      <c r="E91" s="48"/>
      <c r="F91" s="48"/>
      <c r="G91" s="48"/>
      <c r="H91" s="48"/>
    </row>
    <row r="92" spans="1:9" ht="15" hidden="1" customHeight="1" outlineLevel="1">
      <c r="B92" s="6" t="s">
        <v>65</v>
      </c>
      <c r="C92" s="6"/>
      <c r="D92" s="49"/>
      <c r="E92" s="49"/>
      <c r="F92" s="49"/>
      <c r="G92" s="50"/>
      <c r="H92" s="50"/>
    </row>
    <row r="93" spans="1:9" ht="15" hidden="1" customHeight="1" outlineLevel="1">
      <c r="B93" s="14" t="s">
        <v>41</v>
      </c>
      <c r="D93" s="19"/>
      <c r="E93" s="19"/>
      <c r="F93" s="19"/>
      <c r="G93" s="19"/>
      <c r="H93" s="19"/>
    </row>
    <row r="94" spans="1:9" ht="15" hidden="1" customHeight="1" outlineLevel="1">
      <c r="B94" s="14" t="s">
        <v>66</v>
      </c>
      <c r="D94" s="19"/>
      <c r="E94" s="19"/>
      <c r="F94" s="19"/>
      <c r="G94" s="19"/>
      <c r="H94" s="19"/>
    </row>
    <row r="95" spans="1:9" ht="15" hidden="1" customHeight="1" outlineLevel="1">
      <c r="B95" s="14" t="s">
        <v>67</v>
      </c>
      <c r="D95" s="35"/>
      <c r="E95" s="35"/>
      <c r="F95" s="35"/>
      <c r="G95" s="35"/>
      <c r="H95" s="35"/>
    </row>
    <row r="96" spans="1:9" ht="15" hidden="1" customHeight="1" outlineLevel="1">
      <c r="B96" s="51" t="s">
        <v>47</v>
      </c>
      <c r="C96" s="14"/>
      <c r="D96" s="19"/>
      <c r="E96" s="19"/>
      <c r="F96" s="19"/>
      <c r="G96" s="19"/>
      <c r="H96" s="19"/>
    </row>
    <row r="97" spans="2:8" ht="15" hidden="1" customHeight="1" outlineLevel="1">
      <c r="B97" s="51" t="s">
        <v>48</v>
      </c>
      <c r="C97" s="14"/>
      <c r="D97" s="19"/>
      <c r="E97" s="19"/>
      <c r="F97" s="19"/>
      <c r="G97" s="19"/>
      <c r="H97" s="19"/>
    </row>
    <row r="98" spans="2:8" ht="15" hidden="1" customHeight="1" outlineLevel="1">
      <c r="B98" s="51" t="s">
        <v>53</v>
      </c>
      <c r="C98" s="14"/>
      <c r="D98" s="19"/>
      <c r="E98" s="19"/>
      <c r="F98" s="19"/>
      <c r="G98" s="19"/>
      <c r="H98" s="19"/>
    </row>
    <row r="99" spans="2:8" ht="15" hidden="1" customHeight="1" outlineLevel="1">
      <c r="B99" s="51" t="s">
        <v>54</v>
      </c>
      <c r="C99" s="14"/>
      <c r="D99" s="19"/>
      <c r="E99" s="19"/>
      <c r="F99" s="19"/>
      <c r="G99" s="19"/>
      <c r="H99" s="19"/>
    </row>
    <row r="100" spans="2:8" ht="15" hidden="1" customHeight="1" outlineLevel="1">
      <c r="B100" s="14" t="s">
        <v>65</v>
      </c>
      <c r="D100" s="33"/>
      <c r="E100" s="33"/>
      <c r="F100" s="33"/>
      <c r="G100" s="33"/>
      <c r="H100" s="33"/>
    </row>
    <row r="101" spans="2:8" ht="15" hidden="1" customHeight="1" outlineLevel="1">
      <c r="D101" s="35"/>
      <c r="E101" s="35"/>
      <c r="F101" s="35"/>
      <c r="G101" s="36"/>
      <c r="H101" s="36"/>
    </row>
    <row r="102" spans="2:8" ht="15" hidden="1" customHeight="1" outlineLevel="1">
      <c r="B102" s="6" t="s">
        <v>68</v>
      </c>
      <c r="C102" s="6"/>
      <c r="D102" s="35"/>
      <c r="E102" s="35"/>
      <c r="F102" s="35"/>
      <c r="G102" s="36"/>
      <c r="H102" s="36"/>
    </row>
    <row r="103" spans="2:8" ht="15" hidden="1" customHeight="1" outlineLevel="1">
      <c r="B103" s="14" t="s">
        <v>69</v>
      </c>
      <c r="D103" s="13">
        <v>-3004.9999999999973</v>
      </c>
      <c r="E103" s="13">
        <v>-3911.0000000000018</v>
      </c>
      <c r="F103" s="13">
        <v>-3710.8353600000046</v>
      </c>
      <c r="G103" s="19"/>
      <c r="H103" s="19"/>
    </row>
    <row r="104" spans="2:8" ht="15" hidden="1" customHeight="1" outlineLevel="1">
      <c r="B104" s="14" t="s">
        <v>70</v>
      </c>
      <c r="D104" s="33"/>
      <c r="E104" s="33"/>
      <c r="F104" s="33"/>
      <c r="G104" s="33"/>
      <c r="H104" s="33"/>
    </row>
    <row r="105" spans="2:8" ht="15" hidden="1" customHeight="1" outlineLevel="1">
      <c r="D105" s="35"/>
      <c r="E105" s="35"/>
      <c r="F105" s="35"/>
      <c r="G105" s="36"/>
      <c r="H105" s="36"/>
    </row>
    <row r="106" spans="2:8" ht="15" hidden="1" customHeight="1" outlineLevel="1">
      <c r="B106" s="6" t="s">
        <v>71</v>
      </c>
      <c r="C106" s="6"/>
      <c r="D106" s="35"/>
      <c r="E106" s="35"/>
      <c r="F106" s="35"/>
      <c r="G106" s="36"/>
      <c r="H106" s="36"/>
    </row>
    <row r="107" spans="2:8" ht="15" hidden="1" customHeight="1" outlineLevel="1">
      <c r="B107" s="14" t="s">
        <v>72</v>
      </c>
      <c r="D107" s="13">
        <v>0</v>
      </c>
      <c r="E107" s="19"/>
      <c r="F107" s="19"/>
      <c r="G107" s="19"/>
      <c r="H107" s="19"/>
    </row>
    <row r="108" spans="2:8" ht="15" hidden="1" customHeight="1" outlineLevel="1">
      <c r="B108" s="14" t="s">
        <v>73</v>
      </c>
      <c r="D108" s="19"/>
      <c r="E108" s="19"/>
      <c r="F108" s="19"/>
      <c r="G108" s="19"/>
      <c r="H108" s="19"/>
    </row>
    <row r="109" spans="2:8" ht="15" hidden="1" customHeight="1" outlineLevel="1">
      <c r="B109" s="14" t="s">
        <v>74</v>
      </c>
      <c r="D109" s="13">
        <v>0</v>
      </c>
      <c r="E109" s="19"/>
      <c r="F109" s="19"/>
      <c r="G109" s="19"/>
      <c r="H109" s="19"/>
    </row>
    <row r="110" spans="2:8" ht="15" hidden="1" customHeight="1" outlineLevel="1">
      <c r="B110" s="14" t="s">
        <v>75</v>
      </c>
      <c r="D110" s="33"/>
      <c r="E110" s="33"/>
      <c r="F110" s="33"/>
      <c r="G110" s="33"/>
      <c r="H110" s="33"/>
    </row>
    <row r="111" spans="2:8" ht="15" hidden="1" customHeight="1" outlineLevel="1">
      <c r="B111" s="14"/>
      <c r="D111" s="35"/>
      <c r="E111" s="35"/>
      <c r="F111" s="35"/>
      <c r="G111" s="36"/>
      <c r="H111" s="36"/>
    </row>
    <row r="112" spans="2:8" ht="15" hidden="1" customHeight="1" outlineLevel="1">
      <c r="B112" s="14" t="s">
        <v>76</v>
      </c>
      <c r="D112" s="13">
        <v>5671</v>
      </c>
      <c r="E112" s="19"/>
      <c r="F112" s="19"/>
      <c r="G112" s="19"/>
      <c r="H112" s="19"/>
    </row>
    <row r="113" spans="1:9" ht="15" hidden="1" customHeight="1" outlineLevel="1">
      <c r="B113" s="14" t="s">
        <v>77</v>
      </c>
      <c r="D113" s="19"/>
      <c r="E113" s="19"/>
      <c r="F113" s="19"/>
      <c r="G113" s="19"/>
      <c r="H113" s="19"/>
    </row>
    <row r="114" spans="1:9" ht="15" hidden="1" customHeight="1" outlineLevel="1">
      <c r="B114" s="23" t="s">
        <v>78</v>
      </c>
      <c r="C114" s="6"/>
      <c r="D114" s="37"/>
      <c r="E114" s="37"/>
      <c r="F114" s="37"/>
      <c r="G114" s="37"/>
      <c r="H114" s="37"/>
    </row>
    <row r="115" spans="1:9" ht="15" hidden="1" customHeight="1" outlineLevel="1">
      <c r="B115" s="6"/>
      <c r="C115" s="6"/>
      <c r="D115" s="40"/>
      <c r="E115" s="40"/>
      <c r="F115" s="40"/>
      <c r="G115" s="40"/>
      <c r="H115" s="40"/>
    </row>
    <row r="116" spans="1:9" ht="15" hidden="1" customHeight="1" outlineLevel="1">
      <c r="B116" s="21"/>
      <c r="C116" s="21"/>
      <c r="D116" s="52"/>
      <c r="E116" s="52"/>
      <c r="F116" s="52"/>
      <c r="G116" s="52"/>
      <c r="H116" s="52"/>
    </row>
    <row r="117" spans="1:9" ht="15" hidden="1" customHeight="1" collapsed="1">
      <c r="D117" s="36"/>
      <c r="E117" s="36"/>
      <c r="F117" s="36"/>
      <c r="G117" s="36"/>
      <c r="H117" s="36"/>
    </row>
    <row r="118" spans="1:9" s="4" customFormat="1" ht="15" hidden="1" customHeight="1">
      <c r="A118" s="4" t="s">
        <v>29</v>
      </c>
      <c r="B118" s="5" t="s">
        <v>79</v>
      </c>
      <c r="C118" s="5"/>
      <c r="D118" s="5"/>
      <c r="E118" s="5"/>
      <c r="F118" s="5"/>
      <c r="G118" s="5"/>
      <c r="H118" s="5"/>
    </row>
    <row r="119" spans="1:9" s="4" customFormat="1" ht="15" hidden="1" customHeight="1" outlineLevel="1">
      <c r="B119" s="22"/>
      <c r="C119" s="22"/>
      <c r="D119" s="47"/>
      <c r="E119" s="47"/>
      <c r="F119" s="47"/>
      <c r="G119" s="47"/>
      <c r="H119" s="47"/>
    </row>
    <row r="120" spans="1:9" s="4" customFormat="1" ht="15" hidden="1" customHeight="1" outlineLevel="1">
      <c r="B120" s="9" t="s">
        <v>31</v>
      </c>
      <c r="C120" s="9"/>
      <c r="D120" s="10" t="e">
        <f>+#REF!</f>
        <v>#REF!</v>
      </c>
      <c r="E120" s="10" t="e">
        <f>+#REF!</f>
        <v>#REF!</v>
      </c>
      <c r="F120" s="10" t="e">
        <f>+#REF!</f>
        <v>#REF!</v>
      </c>
      <c r="G120" s="11" t="e">
        <f>+#REF!</f>
        <v>#REF!</v>
      </c>
      <c r="H120" s="11" t="e">
        <f>+#REF!</f>
        <v>#REF!</v>
      </c>
    </row>
    <row r="121" spans="1:9" s="4" customFormat="1" ht="15" hidden="1" customHeight="1" outlineLevel="1">
      <c r="B121" s="22"/>
      <c r="C121" s="22"/>
      <c r="D121" s="47"/>
      <c r="E121" s="47"/>
      <c r="F121" s="47"/>
      <c r="G121" s="47"/>
      <c r="H121" s="47"/>
    </row>
    <row r="122" spans="1:9" ht="15" hidden="1" customHeight="1" outlineLevel="1">
      <c r="B122" s="3" t="s">
        <v>80</v>
      </c>
      <c r="D122" s="53" t="e">
        <f>#REF!</f>
        <v>#REF!</v>
      </c>
      <c r="E122" s="33" t="e">
        <f>#REF!</f>
        <v>#REF!</v>
      </c>
      <c r="F122" s="33" t="e">
        <f>#REF!</f>
        <v>#REF!</v>
      </c>
      <c r="G122" s="33" t="e">
        <f>#REF!</f>
        <v>#REF!</v>
      </c>
      <c r="H122" s="33" t="e">
        <f>#REF!</f>
        <v>#REF!</v>
      </c>
      <c r="I122" s="20"/>
    </row>
    <row r="123" spans="1:9" ht="15" hidden="1" customHeight="1" outlineLevel="1">
      <c r="B123" s="3" t="s">
        <v>81</v>
      </c>
      <c r="D123" s="54">
        <f>D35</f>
        <v>8860740</v>
      </c>
      <c r="E123" s="55">
        <f>E35</f>
        <v>10529958</v>
      </c>
      <c r="F123" s="55">
        <f>F35</f>
        <v>12114350</v>
      </c>
      <c r="G123" s="55">
        <f>G35</f>
        <v>13573893.75</v>
      </c>
      <c r="H123" s="55">
        <f>H35</f>
        <v>16069125</v>
      </c>
      <c r="I123" s="20"/>
    </row>
    <row r="124" spans="1:9" ht="15" hidden="1" customHeight="1" outlineLevel="1">
      <c r="B124" s="3" t="s">
        <v>33</v>
      </c>
      <c r="D124" s="54">
        <f>-D36</f>
        <v>4000000</v>
      </c>
      <c r="E124" s="55">
        <f>-E36</f>
        <v>5000000</v>
      </c>
      <c r="F124" s="55">
        <f>-F36</f>
        <v>6000000</v>
      </c>
      <c r="G124" s="55">
        <f>-G36</f>
        <v>7000000</v>
      </c>
      <c r="H124" s="55">
        <f>-H36</f>
        <v>8400000</v>
      </c>
      <c r="I124" s="20"/>
    </row>
    <row r="125" spans="1:9" ht="15" hidden="1" customHeight="1" outlineLevel="1">
      <c r="B125" s="3" t="s">
        <v>82</v>
      </c>
      <c r="D125" s="56">
        <f>-D48</f>
        <v>519362.8</v>
      </c>
      <c r="E125" s="57">
        <f>-E48</f>
        <v>553840.76</v>
      </c>
      <c r="F125" s="57">
        <f>-F48</f>
        <v>582032</v>
      </c>
      <c r="G125" s="57">
        <f>-G48</f>
        <v>584131.625</v>
      </c>
      <c r="H125" s="57">
        <f>-H48</f>
        <v>702707.5</v>
      </c>
      <c r="I125" s="20"/>
    </row>
    <row r="126" spans="1:9" ht="15" hidden="1" customHeight="1" outlineLevel="1">
      <c r="B126" s="6"/>
      <c r="C126" s="6"/>
      <c r="D126" s="58"/>
      <c r="E126" s="58"/>
      <c r="F126" s="58"/>
      <c r="G126" s="59"/>
      <c r="H126" s="59"/>
      <c r="I126" s="20"/>
    </row>
    <row r="127" spans="1:9" ht="15" hidden="1" customHeight="1" outlineLevel="1">
      <c r="B127" s="3" t="s">
        <v>47</v>
      </c>
      <c r="C127" s="18" t="s">
        <v>83</v>
      </c>
      <c r="D127" s="19" t="e">
        <f>#REF!</f>
        <v>#REF!</v>
      </c>
      <c r="E127" s="19" t="e">
        <f>#REF!</f>
        <v>#REF!</v>
      </c>
      <c r="F127" s="19" t="e">
        <f>#REF!</f>
        <v>#REF!</v>
      </c>
      <c r="G127" s="19" t="e">
        <f>#REF!</f>
        <v>#REF!</v>
      </c>
      <c r="H127" s="19" t="e">
        <f>#REF!</f>
        <v>#REF!</v>
      </c>
    </row>
    <row r="128" spans="1:9" ht="15" hidden="1" customHeight="1" outlineLevel="1">
      <c r="B128" s="3" t="s">
        <v>84</v>
      </c>
      <c r="C128" s="18" t="s">
        <v>83</v>
      </c>
      <c r="D128" s="19" t="e">
        <f>#REF!</f>
        <v>#REF!</v>
      </c>
      <c r="E128" s="19" t="e">
        <f>#REF!</f>
        <v>#REF!</v>
      </c>
      <c r="F128" s="19" t="e">
        <f>#REF!</f>
        <v>#REF!</v>
      </c>
      <c r="G128" s="19" t="e">
        <f>#REF!</f>
        <v>#REF!</v>
      </c>
      <c r="H128" s="19" t="e">
        <f>#REF!</f>
        <v>#REF!</v>
      </c>
    </row>
    <row r="129" spans="2:9" ht="15" hidden="1" customHeight="1" outlineLevel="1">
      <c r="B129" s="3" t="s">
        <v>53</v>
      </c>
      <c r="C129" s="18" t="s">
        <v>83</v>
      </c>
      <c r="D129" s="19" t="e">
        <f>#REF!</f>
        <v>#REF!</v>
      </c>
      <c r="E129" s="19" t="e">
        <f>#REF!</f>
        <v>#REF!</v>
      </c>
      <c r="F129" s="19" t="e">
        <f>#REF!</f>
        <v>#REF!</v>
      </c>
      <c r="G129" s="19" t="e">
        <f>#REF!</f>
        <v>#REF!</v>
      </c>
      <c r="H129" s="19" t="e">
        <f>#REF!</f>
        <v>#REF!</v>
      </c>
    </row>
    <row r="130" spans="2:9" ht="15" hidden="1" customHeight="1" outlineLevel="1">
      <c r="B130" s="20" t="s">
        <v>85</v>
      </c>
      <c r="D130" s="60" t="e">
        <f>#REF!</f>
        <v>#REF!</v>
      </c>
      <c r="E130" s="60" t="e">
        <f>#REF!</f>
        <v>#REF!</v>
      </c>
      <c r="F130" s="60" t="e">
        <f>#REF!</f>
        <v>#REF!</v>
      </c>
      <c r="G130" s="60" t="e">
        <f>#REF!</f>
        <v>#REF!</v>
      </c>
      <c r="H130" s="60" t="e">
        <f>#REF!</f>
        <v>#REF!</v>
      </c>
    </row>
    <row r="131" spans="2:9" ht="15" hidden="1" customHeight="1" outlineLevel="1">
      <c r="D131" s="58"/>
      <c r="E131" s="58"/>
      <c r="F131" s="58"/>
      <c r="G131" s="59"/>
      <c r="H131" s="59"/>
      <c r="I131" s="20"/>
    </row>
    <row r="132" spans="2:9" ht="15" hidden="1" customHeight="1" outlineLevel="1">
      <c r="B132" s="6" t="s">
        <v>86</v>
      </c>
      <c r="D132" s="58"/>
      <c r="E132" s="58"/>
      <c r="F132" s="58"/>
      <c r="G132" s="59"/>
      <c r="H132" s="59"/>
      <c r="I132" s="20"/>
    </row>
    <row r="133" spans="2:9" ht="15" hidden="1" customHeight="1" outlineLevel="1">
      <c r="B133" s="14" t="s">
        <v>47</v>
      </c>
      <c r="D133" s="61">
        <f>D61</f>
        <v>12685</v>
      </c>
      <c r="E133" s="61">
        <f t="shared" ref="E133:F134" si="18">E61</f>
        <v>14074</v>
      </c>
      <c r="F133" s="61">
        <f t="shared" si="18"/>
        <v>14721.208547945205</v>
      </c>
      <c r="G133" s="61" t="e">
        <f>G127/G122*G123</f>
        <v>#REF!</v>
      </c>
      <c r="H133" s="61" t="e">
        <f t="shared" ref="H133" si="19">H127/H122*H123</f>
        <v>#REF!</v>
      </c>
    </row>
    <row r="134" spans="2:9" ht="15" hidden="1" customHeight="1" outlineLevel="1">
      <c r="B134" s="14" t="s">
        <v>84</v>
      </c>
      <c r="D134" s="61">
        <f>D62</f>
        <v>7168</v>
      </c>
      <c r="E134" s="61">
        <f t="shared" si="18"/>
        <v>7691</v>
      </c>
      <c r="F134" s="61">
        <f t="shared" si="18"/>
        <v>8036.3318794520546</v>
      </c>
      <c r="G134" s="61" t="e">
        <f>G128/G122*G124</f>
        <v>#REF!</v>
      </c>
      <c r="H134" s="61" t="e">
        <f t="shared" ref="H134" si="20">H128/H122*H124</f>
        <v>#REF!</v>
      </c>
    </row>
    <row r="135" spans="2:9" ht="15" hidden="1" customHeight="1" outlineLevel="1">
      <c r="B135" s="14" t="s">
        <v>53</v>
      </c>
      <c r="D135" s="61">
        <f>D70</f>
        <v>10001</v>
      </c>
      <c r="E135" s="61">
        <f t="shared" ref="E135:F136" si="21">E70</f>
        <v>10504</v>
      </c>
      <c r="F135" s="61">
        <f t="shared" si="21"/>
        <v>11077.106104109589</v>
      </c>
      <c r="G135" s="61" t="e">
        <f>G129/G122*G124</f>
        <v>#REF!</v>
      </c>
      <c r="H135" s="61" t="e">
        <f t="shared" ref="H135" si="22">H129/H122*H124</f>
        <v>#REF!</v>
      </c>
    </row>
    <row r="136" spans="2:9" ht="15" hidden="1" customHeight="1" outlineLevel="1">
      <c r="B136" s="14" t="s">
        <v>87</v>
      </c>
      <c r="D136" s="61">
        <f>D71</f>
        <v>1088</v>
      </c>
      <c r="E136" s="61">
        <f t="shared" si="21"/>
        <v>894</v>
      </c>
      <c r="F136" s="61">
        <f t="shared" si="21"/>
        <v>581</v>
      </c>
      <c r="G136" s="61" t="e">
        <f>G130*G125</f>
        <v>#REF!</v>
      </c>
      <c r="H136" s="61" t="e">
        <f t="shared" ref="H136" si="23">H130*H125</f>
        <v>#REF!</v>
      </c>
    </row>
    <row r="137" spans="2:9" ht="15" hidden="1" customHeight="1" outlineLevel="1">
      <c r="D137" s="58"/>
      <c r="E137" s="58"/>
      <c r="F137" s="58"/>
      <c r="G137" s="62"/>
      <c r="H137" s="62"/>
      <c r="I137" s="20"/>
    </row>
    <row r="138" spans="2:9" ht="15" hidden="1" customHeight="1" outlineLevel="1">
      <c r="B138" s="63" t="s">
        <v>88</v>
      </c>
      <c r="C138" s="63"/>
      <c r="D138" s="58"/>
      <c r="E138" s="58"/>
      <c r="F138" s="58"/>
      <c r="G138" s="62"/>
      <c r="H138" s="62"/>
      <c r="I138" s="20"/>
    </row>
    <row r="139" spans="2:9" ht="15" hidden="1" customHeight="1" outlineLevel="1">
      <c r="B139" s="14" t="s">
        <v>47</v>
      </c>
      <c r="C139" s="14"/>
      <c r="D139" s="64">
        <v>-1280</v>
      </c>
      <c r="E139" s="61">
        <f t="shared" ref="E139:H140" si="24">D133-E133</f>
        <v>-1389</v>
      </c>
      <c r="F139" s="61">
        <f t="shared" si="24"/>
        <v>-647.20854794520528</v>
      </c>
      <c r="G139" s="61" t="e">
        <f t="shared" si="24"/>
        <v>#REF!</v>
      </c>
      <c r="H139" s="61" t="e">
        <f t="shared" si="24"/>
        <v>#REF!</v>
      </c>
      <c r="I139" s="20"/>
    </row>
    <row r="140" spans="2:9" ht="15" hidden="1" customHeight="1" outlineLevel="1">
      <c r="B140" s="14" t="s">
        <v>84</v>
      </c>
      <c r="C140" s="14"/>
      <c r="D140" s="64">
        <v>-470</v>
      </c>
      <c r="E140" s="61">
        <f t="shared" si="24"/>
        <v>-523</v>
      </c>
      <c r="F140" s="61">
        <f t="shared" si="24"/>
        <v>-345.33187945205464</v>
      </c>
      <c r="G140" s="61" t="e">
        <f t="shared" si="24"/>
        <v>#REF!</v>
      </c>
      <c r="H140" s="61" t="e">
        <f t="shared" si="24"/>
        <v>#REF!</v>
      </c>
      <c r="I140" s="20"/>
    </row>
    <row r="141" spans="2:9" ht="15" hidden="1" customHeight="1" outlineLevel="1">
      <c r="B141" s="14" t="s">
        <v>53</v>
      </c>
      <c r="C141" s="14"/>
      <c r="D141" s="65">
        <v>490</v>
      </c>
      <c r="E141" s="61">
        <f t="shared" ref="E141:H142" si="25">E135-D135</f>
        <v>503</v>
      </c>
      <c r="F141" s="61">
        <f t="shared" si="25"/>
        <v>573.10610410958907</v>
      </c>
      <c r="G141" s="61" t="e">
        <f t="shared" si="25"/>
        <v>#REF!</v>
      </c>
      <c r="H141" s="61" t="e">
        <f t="shared" si="25"/>
        <v>#REF!</v>
      </c>
      <c r="I141" s="20"/>
    </row>
    <row r="142" spans="2:9" ht="15" hidden="1" customHeight="1" outlineLevel="1">
      <c r="B142" s="14" t="s">
        <v>54</v>
      </c>
      <c r="C142" s="14"/>
      <c r="D142" s="65">
        <v>50</v>
      </c>
      <c r="E142" s="66">
        <f t="shared" si="25"/>
        <v>-194</v>
      </c>
      <c r="F142" s="66">
        <f t="shared" si="25"/>
        <v>-313</v>
      </c>
      <c r="G142" s="66" t="e">
        <f t="shared" si="25"/>
        <v>#REF!</v>
      </c>
      <c r="H142" s="66" t="e">
        <f t="shared" si="25"/>
        <v>#REF!</v>
      </c>
      <c r="I142" s="20"/>
    </row>
    <row r="143" spans="2:9" ht="15" hidden="1" customHeight="1" outlineLevel="1">
      <c r="B143" s="14" t="s">
        <v>89</v>
      </c>
      <c r="C143" s="14"/>
      <c r="D143" s="67">
        <f>SUM(D139:D142)</f>
        <v>-1210</v>
      </c>
      <c r="E143" s="67">
        <f t="shared" ref="E143:H143" si="26">SUM(E139:E142)</f>
        <v>-1603</v>
      </c>
      <c r="F143" s="67">
        <f t="shared" si="26"/>
        <v>-732.43432328767085</v>
      </c>
      <c r="G143" s="67" t="e">
        <f t="shared" si="26"/>
        <v>#REF!</v>
      </c>
      <c r="H143" s="67" t="e">
        <f t="shared" si="26"/>
        <v>#REF!</v>
      </c>
      <c r="I143" s="20"/>
    </row>
    <row r="144" spans="2:9" ht="15" hidden="1" customHeight="1" outlineLevel="1">
      <c r="B144" s="14"/>
      <c r="C144" s="14"/>
      <c r="D144" s="68"/>
      <c r="E144" s="68"/>
      <c r="F144" s="68"/>
      <c r="G144" s="68"/>
      <c r="H144" s="68"/>
      <c r="I144" s="20"/>
    </row>
    <row r="145" spans="1:9" ht="15" hidden="1" customHeight="1" outlineLevel="1">
      <c r="B145" s="14" t="s">
        <v>81</v>
      </c>
      <c r="C145" s="9"/>
      <c r="D145" s="69">
        <f>D123</f>
        <v>8860740</v>
      </c>
      <c r="E145" s="70">
        <f t="shared" ref="E145:H145" si="27">E123</f>
        <v>10529958</v>
      </c>
      <c r="F145" s="70">
        <f t="shared" si="27"/>
        <v>12114350</v>
      </c>
      <c r="G145" s="70">
        <f t="shared" si="27"/>
        <v>13573893.75</v>
      </c>
      <c r="H145" s="70">
        <f t="shared" si="27"/>
        <v>16069125</v>
      </c>
      <c r="I145" s="17"/>
    </row>
    <row r="146" spans="1:9" ht="15" hidden="1" customHeight="1" outlineLevel="1">
      <c r="B146" s="14" t="s">
        <v>90</v>
      </c>
      <c r="C146" s="18" t="s">
        <v>91</v>
      </c>
      <c r="D146" s="71" t="e">
        <f>#REF!</f>
        <v>#REF!</v>
      </c>
      <c r="E146" s="72" t="e">
        <f>#REF!</f>
        <v>#REF!</v>
      </c>
      <c r="F146" s="72" t="e">
        <f>#REF!</f>
        <v>#REF!</v>
      </c>
      <c r="G146" s="72" t="e">
        <f>#REF!</f>
        <v>#REF!</v>
      </c>
      <c r="H146" s="72" t="e">
        <f>#REF!</f>
        <v>#REF!</v>
      </c>
    </row>
    <row r="147" spans="1:9" ht="15" hidden="1" customHeight="1" outlineLevel="1">
      <c r="B147" s="14" t="s">
        <v>92</v>
      </c>
      <c r="C147" s="18"/>
      <c r="D147" s="73" t="e">
        <f>#REF!</f>
        <v>#REF!</v>
      </c>
      <c r="E147" s="74" t="e">
        <f>#REF!</f>
        <v>#REF!</v>
      </c>
      <c r="F147" s="74" t="e">
        <f>#REF!</f>
        <v>#REF!</v>
      </c>
      <c r="G147" s="74" t="e">
        <f>#REF!</f>
        <v>#REF!</v>
      </c>
      <c r="H147" s="74" t="e">
        <f>#REF!</f>
        <v>#REF!</v>
      </c>
    </row>
    <row r="148" spans="1:9" ht="15" hidden="1" customHeight="1" outlineLevel="1">
      <c r="B148" s="75"/>
      <c r="C148" s="9"/>
      <c r="D148" s="48"/>
      <c r="E148" s="48"/>
      <c r="F148" s="48"/>
      <c r="G148" s="48"/>
      <c r="H148" s="48"/>
    </row>
    <row r="149" spans="1:9" ht="15" hidden="1" customHeight="1" outlineLevel="1">
      <c r="B149" s="23" t="s">
        <v>93</v>
      </c>
      <c r="C149" s="6"/>
      <c r="D149" s="36"/>
      <c r="E149" s="36"/>
      <c r="F149" s="36"/>
      <c r="G149" s="36"/>
      <c r="H149" s="36"/>
    </row>
    <row r="150" spans="1:9" ht="15" hidden="1" customHeight="1" outlineLevel="1">
      <c r="B150" s="14" t="s">
        <v>94</v>
      </c>
      <c r="D150" s="19" t="e">
        <f>D153-D152-D151</f>
        <v>#REF!</v>
      </c>
      <c r="E150" s="19">
        <f>D153</f>
        <v>19262.999999999996</v>
      </c>
      <c r="F150" s="19" t="e">
        <f>E153</f>
        <v>#REF!</v>
      </c>
      <c r="G150" s="19" t="e">
        <f t="shared" ref="G150:H150" si="28">F153</f>
        <v>#REF!</v>
      </c>
      <c r="H150" s="19" t="e">
        <f t="shared" si="28"/>
        <v>#REF!</v>
      </c>
    </row>
    <row r="151" spans="1:9" ht="15" hidden="1" customHeight="1" outlineLevel="1">
      <c r="B151" s="14" t="s">
        <v>95</v>
      </c>
      <c r="D151" s="19">
        <f t="shared" ref="D151:F151" si="29">-D103</f>
        <v>3004.9999999999973</v>
      </c>
      <c r="E151" s="19">
        <f t="shared" si="29"/>
        <v>3911.0000000000018</v>
      </c>
      <c r="F151" s="19">
        <f t="shared" si="29"/>
        <v>3710.8353600000046</v>
      </c>
      <c r="G151" s="19" t="e">
        <f t="shared" ref="G151:H151" si="30">G153-G152-G150</f>
        <v>#REF!</v>
      </c>
      <c r="H151" s="19" t="e">
        <f t="shared" si="30"/>
        <v>#REF!</v>
      </c>
    </row>
    <row r="152" spans="1:9" ht="15" hidden="1" customHeight="1" outlineLevel="1">
      <c r="B152" s="14" t="s">
        <v>96</v>
      </c>
      <c r="D152" s="19" t="e">
        <f>#REF!</f>
        <v>#REF!</v>
      </c>
      <c r="E152" s="19" t="e">
        <f>#REF!</f>
        <v>#REF!</v>
      </c>
      <c r="F152" s="19" t="e">
        <f>#REF!</f>
        <v>#REF!</v>
      </c>
      <c r="G152" s="19" t="e">
        <f t="shared" ref="G152:H152" si="31">-G147*G145</f>
        <v>#REF!</v>
      </c>
      <c r="H152" s="19" t="e">
        <f t="shared" si="31"/>
        <v>#REF!</v>
      </c>
    </row>
    <row r="153" spans="1:9" ht="15" hidden="1" customHeight="1" outlineLevel="1">
      <c r="B153" s="23" t="s">
        <v>97</v>
      </c>
      <c r="C153" s="6"/>
      <c r="D153" s="39">
        <f>D65</f>
        <v>19262.999999999996</v>
      </c>
      <c r="E153" s="39" t="e">
        <f>SUM(E150:E152)</f>
        <v>#REF!</v>
      </c>
      <c r="F153" s="39" t="e">
        <f>SUM(F150:F152)</f>
        <v>#REF!</v>
      </c>
      <c r="G153" s="39" t="e">
        <f t="shared" ref="G153:H153" si="32">G145/G146</f>
        <v>#REF!</v>
      </c>
      <c r="H153" s="39" t="e">
        <f t="shared" si="32"/>
        <v>#REF!</v>
      </c>
      <c r="I153" s="76"/>
    </row>
    <row r="154" spans="1:9" ht="15" hidden="1" customHeight="1" outlineLevel="1">
      <c r="B154" s="77"/>
      <c r="C154" s="77"/>
      <c r="D154" s="46"/>
      <c r="E154" s="46"/>
      <c r="F154" s="46"/>
      <c r="G154" s="46"/>
      <c r="H154" s="46"/>
    </row>
    <row r="155" spans="1:9" ht="15" hidden="1" customHeight="1" collapsed="1">
      <c r="D155" s="36"/>
      <c r="E155" s="36"/>
      <c r="F155" s="36"/>
      <c r="G155" s="36"/>
      <c r="H155" s="36"/>
    </row>
    <row r="156" spans="1:9" s="4" customFormat="1" ht="15" hidden="1" customHeight="1">
      <c r="A156" s="4" t="s">
        <v>29</v>
      </c>
      <c r="B156" s="5" t="s">
        <v>98</v>
      </c>
      <c r="C156" s="5"/>
      <c r="D156" s="5"/>
      <c r="E156" s="5"/>
      <c r="F156" s="5"/>
      <c r="G156" s="5"/>
      <c r="H156" s="5"/>
    </row>
    <row r="157" spans="1:9" s="4" customFormat="1" ht="15" hidden="1" customHeight="1" outlineLevel="1">
      <c r="B157" s="22"/>
      <c r="C157" s="22"/>
      <c r="D157" s="47"/>
      <c r="E157" s="47"/>
      <c r="F157" s="47"/>
      <c r="G157" s="47"/>
      <c r="H157" s="47"/>
    </row>
    <row r="158" spans="1:9" ht="15" hidden="1" customHeight="1" outlineLevel="1">
      <c r="B158" s="9" t="s">
        <v>31</v>
      </c>
      <c r="C158" s="9"/>
      <c r="D158" s="10" t="e">
        <f>+#REF!</f>
        <v>#REF!</v>
      </c>
      <c r="E158" s="10" t="e">
        <f>+#REF!</f>
        <v>#REF!</v>
      </c>
      <c r="F158" s="10" t="e">
        <f>+#REF!</f>
        <v>#REF!</v>
      </c>
      <c r="G158" s="11" t="e">
        <f>+#REF!</f>
        <v>#REF!</v>
      </c>
      <c r="H158" s="11" t="e">
        <f>+#REF!</f>
        <v>#REF!</v>
      </c>
    </row>
    <row r="159" spans="1:9" ht="15" hidden="1" customHeight="1" outlineLevel="1">
      <c r="B159" s="9"/>
      <c r="C159" s="9"/>
      <c r="D159" s="48"/>
      <c r="E159" s="48"/>
      <c r="F159" s="48"/>
      <c r="G159" s="48"/>
      <c r="H159" s="48"/>
    </row>
    <row r="160" spans="1:9" ht="15" hidden="1" customHeight="1" outlineLevel="1">
      <c r="B160" s="6" t="s">
        <v>99</v>
      </c>
      <c r="C160" s="6"/>
      <c r="D160" s="25"/>
      <c r="E160" s="25"/>
      <c r="F160" s="25"/>
      <c r="G160" s="25"/>
      <c r="H160" s="25"/>
    </row>
    <row r="161" spans="2:8" ht="15" hidden="1" customHeight="1" outlineLevel="1">
      <c r="B161" s="6" t="s">
        <v>100</v>
      </c>
      <c r="C161" s="6"/>
      <c r="D161" s="36"/>
      <c r="E161" s="36"/>
      <c r="F161" s="36"/>
      <c r="G161" s="36"/>
      <c r="H161" s="36"/>
    </row>
    <row r="162" spans="2:8" ht="15" hidden="1" customHeight="1" outlineLevel="1">
      <c r="B162" s="14" t="s">
        <v>94</v>
      </c>
      <c r="D162" s="78" t="e">
        <f>D164-D163</f>
        <v>#REF!</v>
      </c>
      <c r="E162" s="78" t="e">
        <f t="shared" ref="E162:H162" si="33">D164</f>
        <v>#REF!</v>
      </c>
      <c r="F162" s="78" t="e">
        <f t="shared" si="33"/>
        <v>#REF!</v>
      </c>
      <c r="G162" s="78" t="e">
        <f t="shared" si="33"/>
        <v>#REF!</v>
      </c>
      <c r="H162" s="78" t="e">
        <f t="shared" si="33"/>
        <v>#REF!</v>
      </c>
    </row>
    <row r="163" spans="2:8" ht="15" hidden="1" customHeight="1" outlineLevel="1">
      <c r="B163" s="14" t="s">
        <v>101</v>
      </c>
      <c r="D163" s="26">
        <f>D109</f>
        <v>0</v>
      </c>
      <c r="E163" s="19" t="e">
        <f t="shared" ref="E163:H163" si="34">E164-E162</f>
        <v>#REF!</v>
      </c>
      <c r="F163" s="19" t="e">
        <f t="shared" si="34"/>
        <v>#REF!</v>
      </c>
      <c r="G163" s="19" t="e">
        <f t="shared" si="34"/>
        <v>#REF!</v>
      </c>
      <c r="H163" s="19" t="e">
        <f t="shared" si="34"/>
        <v>#REF!</v>
      </c>
    </row>
    <row r="164" spans="2:8" ht="15" hidden="1" customHeight="1" outlineLevel="1">
      <c r="B164" s="23" t="s">
        <v>102</v>
      </c>
      <c r="C164" s="6"/>
      <c r="D164" s="39" t="e">
        <f>#REF!</f>
        <v>#REF!</v>
      </c>
      <c r="E164" s="39" t="e">
        <f>#REF!</f>
        <v>#REF!</v>
      </c>
      <c r="F164" s="39" t="e">
        <f>#REF!</f>
        <v>#REF!</v>
      </c>
      <c r="G164" s="39" t="e">
        <f>#REF!</f>
        <v>#REF!</v>
      </c>
      <c r="H164" s="39" t="e">
        <f>#REF!</f>
        <v>#REF!</v>
      </c>
    </row>
    <row r="165" spans="2:8" ht="15" hidden="1" customHeight="1" outlineLevel="1">
      <c r="B165" s="3" t="s">
        <v>99</v>
      </c>
      <c r="D165" s="36"/>
      <c r="E165" s="36"/>
      <c r="F165" s="36"/>
      <c r="G165" s="36"/>
      <c r="H165" s="36"/>
    </row>
    <row r="166" spans="2:8" ht="15" hidden="1" customHeight="1" outlineLevel="1">
      <c r="B166" s="14" t="s">
        <v>103</v>
      </c>
      <c r="C166" s="6"/>
      <c r="D166" s="79" t="e">
        <f>#REF!</f>
        <v>#REF!</v>
      </c>
      <c r="E166" s="80" t="e">
        <f>#REF!</f>
        <v>#REF!</v>
      </c>
      <c r="F166" s="80" t="e">
        <f>#REF!</f>
        <v>#REF!</v>
      </c>
      <c r="G166" s="80" t="e">
        <f>#REF!</f>
        <v>#REF!</v>
      </c>
      <c r="H166" s="80" t="e">
        <f>#REF!</f>
        <v>#REF!</v>
      </c>
    </row>
    <row r="167" spans="2:8" ht="15" hidden="1" customHeight="1" outlineLevel="1">
      <c r="B167" s="14"/>
      <c r="C167" s="6"/>
      <c r="D167" s="81"/>
      <c r="E167" s="81"/>
      <c r="F167" s="81"/>
      <c r="G167" s="81"/>
      <c r="H167" s="81"/>
    </row>
    <row r="168" spans="2:8" ht="15" hidden="1" customHeight="1" outlineLevel="1">
      <c r="B168" s="14" t="s">
        <v>104</v>
      </c>
      <c r="D168" s="19">
        <f>-D45</f>
        <v>150000</v>
      </c>
      <c r="E168" s="19">
        <f>-E45</f>
        <v>175000</v>
      </c>
      <c r="F168" s="19">
        <f>-F45</f>
        <v>200000</v>
      </c>
      <c r="G168" s="19" t="e">
        <f t="shared" ref="G168:H168" si="35">G164*G166</f>
        <v>#REF!</v>
      </c>
      <c r="H168" s="19" t="e">
        <f t="shared" si="35"/>
        <v>#REF!</v>
      </c>
    </row>
    <row r="169" spans="2:8" ht="15" hidden="1" customHeight="1" outlineLevel="1">
      <c r="B169" s="23" t="s">
        <v>105</v>
      </c>
      <c r="C169" s="6"/>
      <c r="D169" s="39">
        <f>SUM(D168)</f>
        <v>150000</v>
      </c>
      <c r="E169" s="39">
        <f t="shared" ref="E169:H169" si="36">SUM(E168)</f>
        <v>175000</v>
      </c>
      <c r="F169" s="39">
        <f t="shared" si="36"/>
        <v>200000</v>
      </c>
      <c r="G169" s="39" t="e">
        <f t="shared" si="36"/>
        <v>#REF!</v>
      </c>
      <c r="H169" s="39" t="e">
        <f t="shared" si="36"/>
        <v>#REF!</v>
      </c>
    </row>
    <row r="170" spans="2:8" ht="15" hidden="1" customHeight="1" outlineLevel="1">
      <c r="D170" s="36"/>
      <c r="E170" s="36"/>
      <c r="F170" s="36"/>
      <c r="G170" s="36"/>
      <c r="H170" s="36"/>
    </row>
    <row r="171" spans="2:8" ht="15" hidden="1" customHeight="1" outlineLevel="1">
      <c r="B171" s="6" t="s">
        <v>59</v>
      </c>
      <c r="D171" s="36"/>
      <c r="E171" s="36"/>
      <c r="F171" s="36"/>
      <c r="G171" s="36"/>
      <c r="H171" s="36"/>
    </row>
    <row r="172" spans="2:8" ht="15" hidden="1" customHeight="1" outlineLevel="1">
      <c r="B172" s="14" t="s">
        <v>94</v>
      </c>
      <c r="D172" s="82" t="e">
        <f>D174-D173</f>
        <v>#REF!</v>
      </c>
      <c r="E172" s="82" t="e">
        <f>D174</f>
        <v>#REF!</v>
      </c>
      <c r="F172" s="82" t="e">
        <f t="shared" ref="F172:H172" si="37">E174</f>
        <v>#REF!</v>
      </c>
      <c r="G172" s="82" t="e">
        <f t="shared" si="37"/>
        <v>#REF!</v>
      </c>
      <c r="H172" s="82" t="e">
        <f t="shared" si="37"/>
        <v>#REF!</v>
      </c>
    </row>
    <row r="173" spans="2:8" ht="15" hidden="1" customHeight="1" outlineLevel="1">
      <c r="B173" s="14" t="s">
        <v>101</v>
      </c>
      <c r="D173" s="36">
        <f>D107</f>
        <v>0</v>
      </c>
      <c r="E173" s="82" t="e">
        <f>E174-E172</f>
        <v>#REF!</v>
      </c>
      <c r="F173" s="82" t="e">
        <f t="shared" ref="F173:H173" si="38">F174-F172</f>
        <v>#REF!</v>
      </c>
      <c r="G173" s="82" t="e">
        <f t="shared" si="38"/>
        <v>#REF!</v>
      </c>
      <c r="H173" s="82" t="e">
        <f t="shared" si="38"/>
        <v>#REF!</v>
      </c>
    </row>
    <row r="174" spans="2:8" ht="15" hidden="1" customHeight="1" outlineLevel="1">
      <c r="B174" s="23" t="s">
        <v>106</v>
      </c>
      <c r="D174" s="83" t="e">
        <f>#REF!</f>
        <v>#REF!</v>
      </c>
      <c r="E174" s="83" t="e">
        <f>#REF!</f>
        <v>#REF!</v>
      </c>
      <c r="F174" s="83" t="e">
        <f>#REF!</f>
        <v>#REF!</v>
      </c>
      <c r="G174" s="83" t="e">
        <f>#REF!</f>
        <v>#REF!</v>
      </c>
      <c r="H174" s="83" t="e">
        <f>#REF!</f>
        <v>#REF!</v>
      </c>
    </row>
    <row r="175" spans="2:8" ht="15" hidden="1" customHeight="1" outlineLevel="1">
      <c r="D175" s="36"/>
      <c r="E175" s="36"/>
      <c r="F175" s="36"/>
      <c r="G175" s="36"/>
      <c r="H175" s="36"/>
    </row>
    <row r="176" spans="2:8" ht="15" hidden="1" customHeight="1" outlineLevel="1">
      <c r="B176" s="14" t="s">
        <v>41</v>
      </c>
      <c r="D176" s="84">
        <f>D49</f>
        <v>1841377.2</v>
      </c>
      <c r="E176" s="85">
        <f>E49</f>
        <v>1963617.24</v>
      </c>
      <c r="F176" s="85">
        <f>F49</f>
        <v>2063568</v>
      </c>
      <c r="G176" s="85">
        <f>G49</f>
        <v>2071012.125</v>
      </c>
      <c r="H176" s="85">
        <f>H49</f>
        <v>2491417.5</v>
      </c>
    </row>
    <row r="177" spans="1:8" ht="15" hidden="1" customHeight="1" outlineLevel="1">
      <c r="B177" s="14" t="s">
        <v>107</v>
      </c>
      <c r="D177" s="86">
        <f>D51</f>
        <v>4312</v>
      </c>
      <c r="E177" s="87">
        <f>E51</f>
        <v>4209</v>
      </c>
      <c r="F177" s="87">
        <f>F51</f>
        <v>2930.9750848000026</v>
      </c>
      <c r="G177" s="87" t="e">
        <f>G51</f>
        <v>#REF!</v>
      </c>
      <c r="H177" s="87" t="e">
        <f>H51</f>
        <v>#REF!</v>
      </c>
    </row>
    <row r="178" spans="1:8" ht="15" hidden="1" customHeight="1" outlineLevel="1">
      <c r="D178" s="36"/>
      <c r="E178" s="36"/>
      <c r="F178" s="36"/>
      <c r="G178" s="36"/>
      <c r="H178" s="36"/>
    </row>
    <row r="179" spans="1:8" ht="15" hidden="1" customHeight="1" outlineLevel="1">
      <c r="B179" s="6" t="s">
        <v>108</v>
      </c>
      <c r="C179" s="6"/>
      <c r="D179" s="36"/>
      <c r="E179" s="36"/>
      <c r="F179" s="36"/>
      <c r="G179" s="36"/>
      <c r="H179" s="36"/>
    </row>
    <row r="180" spans="1:8" ht="15" hidden="1" customHeight="1" outlineLevel="1">
      <c r="B180" s="14" t="s">
        <v>94</v>
      </c>
      <c r="D180" s="19">
        <f>D183-D182-D181</f>
        <v>-1831376.2</v>
      </c>
      <c r="E180" s="19">
        <f>D183</f>
        <v>5689</v>
      </c>
      <c r="F180" s="19">
        <f>E183</f>
        <v>1965097.24</v>
      </c>
      <c r="G180" s="19">
        <f>F183</f>
        <v>4025734.2649152004</v>
      </c>
      <c r="H180" s="19" t="e">
        <f t="shared" ref="H180" si="39">G183</f>
        <v>#REF!</v>
      </c>
    </row>
    <row r="181" spans="1:8" ht="15" hidden="1" customHeight="1" outlineLevel="1">
      <c r="B181" s="14" t="s">
        <v>41</v>
      </c>
      <c r="D181" s="19">
        <f>D176</f>
        <v>1841377.2</v>
      </c>
      <c r="E181" s="19">
        <f t="shared" ref="E181:H181" si="40">E176</f>
        <v>1963617.24</v>
      </c>
      <c r="F181" s="19">
        <f t="shared" si="40"/>
        <v>2063568</v>
      </c>
      <c r="G181" s="19">
        <f t="shared" si="40"/>
        <v>2071012.125</v>
      </c>
      <c r="H181" s="19">
        <f t="shared" si="40"/>
        <v>2491417.5</v>
      </c>
    </row>
    <row r="182" spans="1:8" ht="15" hidden="1" customHeight="1" outlineLevel="1">
      <c r="B182" s="14" t="s">
        <v>107</v>
      </c>
      <c r="D182" s="19">
        <f>-D177</f>
        <v>-4312</v>
      </c>
      <c r="E182" s="19">
        <f t="shared" ref="E182:H182" si="41">-E177</f>
        <v>-4209</v>
      </c>
      <c r="F182" s="19">
        <f t="shared" si="41"/>
        <v>-2930.9750848000026</v>
      </c>
      <c r="G182" s="19" t="e">
        <f t="shared" si="41"/>
        <v>#REF!</v>
      </c>
      <c r="H182" s="19" t="e">
        <f t="shared" si="41"/>
        <v>#REF!</v>
      </c>
    </row>
    <row r="183" spans="1:8" ht="15" hidden="1" customHeight="1" outlineLevel="1">
      <c r="B183" s="23" t="s">
        <v>109</v>
      </c>
      <c r="C183" s="6"/>
      <c r="D183" s="88">
        <f t="shared" ref="D183" si="42">D79</f>
        <v>5689</v>
      </c>
      <c r="E183" s="39">
        <f>SUM(E180:E182)</f>
        <v>1965097.24</v>
      </c>
      <c r="F183" s="39">
        <f t="shared" ref="F183:H183" si="43">SUM(F180:F182)</f>
        <v>4025734.2649152004</v>
      </c>
      <c r="G183" s="39" t="e">
        <f t="shared" si="43"/>
        <v>#REF!</v>
      </c>
      <c r="H183" s="39" t="e">
        <f t="shared" si="43"/>
        <v>#REF!</v>
      </c>
    </row>
    <row r="184" spans="1:8" ht="15" hidden="1" customHeight="1" outlineLevel="1">
      <c r="B184" s="6"/>
      <c r="C184" s="6"/>
      <c r="D184" s="40"/>
      <c r="E184" s="40"/>
      <c r="F184" s="40"/>
      <c r="G184" s="40"/>
      <c r="H184" s="40"/>
    </row>
    <row r="185" spans="1:8" ht="15" hidden="1" customHeight="1" outlineLevel="1">
      <c r="B185" s="21"/>
      <c r="C185" s="21"/>
      <c r="D185" s="52"/>
      <c r="E185" s="52"/>
      <c r="F185" s="52"/>
      <c r="G185" s="52"/>
      <c r="H185" s="52"/>
    </row>
    <row r="186" spans="1:8" ht="15" hidden="1" customHeight="1" collapsed="1">
      <c r="D186" s="36"/>
      <c r="E186" s="36"/>
      <c r="F186" s="36"/>
      <c r="G186" s="36"/>
      <c r="H186" s="36"/>
    </row>
    <row r="187" spans="1:8" s="4" customFormat="1" ht="15" hidden="1" customHeight="1">
      <c r="A187" s="4" t="s">
        <v>29</v>
      </c>
      <c r="B187" s="5" t="s">
        <v>110</v>
      </c>
      <c r="C187" s="5"/>
      <c r="D187" s="5"/>
      <c r="E187" s="5"/>
      <c r="F187" s="5"/>
      <c r="G187" s="5"/>
      <c r="H187" s="5"/>
    </row>
    <row r="188" spans="1:8" s="4" customFormat="1" ht="15" hidden="1" customHeight="1" outlineLevel="1">
      <c r="B188" s="22"/>
      <c r="C188" s="22"/>
      <c r="D188" s="47"/>
      <c r="E188" s="47"/>
      <c r="F188" s="47"/>
      <c r="G188" s="47"/>
      <c r="H188" s="47"/>
    </row>
    <row r="189" spans="1:8" ht="15" hidden="1" customHeight="1" outlineLevel="1">
      <c r="B189" s="9" t="s">
        <v>31</v>
      </c>
      <c r="C189" s="9"/>
      <c r="D189" s="10" t="e">
        <f>+#REF!</f>
        <v>#REF!</v>
      </c>
      <c r="E189" s="10" t="e">
        <f>+#REF!</f>
        <v>#REF!</v>
      </c>
      <c r="F189" s="10" t="e">
        <f>+#REF!</f>
        <v>#REF!</v>
      </c>
      <c r="G189" s="11" t="e">
        <f>+#REF!</f>
        <v>#REF!</v>
      </c>
      <c r="H189" s="11" t="e">
        <f>+#REF!</f>
        <v>#REF!</v>
      </c>
    </row>
    <row r="190" spans="1:8" ht="15" hidden="1" customHeight="1" outlineLevel="1">
      <c r="B190" s="9"/>
      <c r="C190" s="9"/>
      <c r="D190" s="48"/>
      <c r="E190" s="48"/>
      <c r="F190" s="48"/>
      <c r="G190" s="48"/>
      <c r="H190" s="48"/>
    </row>
    <row r="191" spans="1:8" ht="15" hidden="1" customHeight="1" outlineLevel="1">
      <c r="B191" s="6" t="s">
        <v>30</v>
      </c>
      <c r="C191" s="6"/>
      <c r="D191" s="36"/>
      <c r="E191" s="36"/>
      <c r="F191" s="36"/>
      <c r="G191" s="36"/>
      <c r="H191" s="36"/>
    </row>
    <row r="192" spans="1:8" ht="15" hidden="1" customHeight="1" outlineLevel="1">
      <c r="B192" s="14" t="s">
        <v>81</v>
      </c>
      <c r="D192" s="19"/>
      <c r="E192" s="19"/>
      <c r="F192" s="19"/>
      <c r="G192" s="19"/>
      <c r="H192" s="19"/>
    </row>
    <row r="193" spans="1:8" ht="15" hidden="1" customHeight="1" outlineLevel="1">
      <c r="B193" s="14" t="s">
        <v>36</v>
      </c>
      <c r="D193" s="19"/>
      <c r="E193" s="19"/>
      <c r="F193" s="19"/>
      <c r="G193" s="19"/>
      <c r="H193" s="19"/>
    </row>
    <row r="194" spans="1:8" ht="15" hidden="1" customHeight="1" outlineLevel="1">
      <c r="B194" s="89" t="s">
        <v>111</v>
      </c>
      <c r="C194" s="42"/>
      <c r="D194" s="90"/>
      <c r="E194" s="90"/>
      <c r="F194" s="90"/>
      <c r="G194" s="90"/>
      <c r="H194" s="90"/>
    </row>
    <row r="195" spans="1:8" ht="15" hidden="1" customHeight="1" outlineLevel="1">
      <c r="B195" s="89"/>
      <c r="C195" s="42"/>
      <c r="D195" s="91"/>
      <c r="E195" s="91"/>
      <c r="F195" s="91"/>
      <c r="G195" s="91"/>
      <c r="H195" s="91"/>
    </row>
    <row r="196" spans="1:8" ht="15" hidden="1" customHeight="1" outlineLevel="1">
      <c r="B196" s="14" t="s">
        <v>41</v>
      </c>
      <c r="D196" s="19"/>
      <c r="E196" s="19"/>
      <c r="F196" s="19"/>
      <c r="G196" s="19"/>
      <c r="H196" s="19"/>
    </row>
    <row r="197" spans="1:8" ht="15" hidden="1" customHeight="1" outlineLevel="1">
      <c r="B197" s="89" t="s">
        <v>112</v>
      </c>
      <c r="C197" s="42"/>
      <c r="D197" s="90"/>
      <c r="E197" s="90"/>
      <c r="F197" s="90"/>
      <c r="G197" s="90"/>
      <c r="H197" s="90"/>
    </row>
    <row r="198" spans="1:8" ht="15" hidden="1" customHeight="1" outlineLevel="1"/>
    <row r="199" spans="1:8" ht="15" hidden="1" customHeight="1" outlineLevel="1">
      <c r="B199" s="6" t="s">
        <v>113</v>
      </c>
      <c r="C199" s="6"/>
    </row>
    <row r="200" spans="1:8" ht="15" hidden="1" customHeight="1" outlineLevel="1">
      <c r="B200" s="14" t="s">
        <v>114</v>
      </c>
      <c r="D200" s="19"/>
      <c r="E200" s="19"/>
      <c r="F200" s="19"/>
      <c r="G200" s="19"/>
      <c r="H200" s="19"/>
    </row>
    <row r="201" spans="1:8" ht="15" hidden="1" customHeight="1" outlineLevel="1">
      <c r="B201" s="14" t="s">
        <v>115</v>
      </c>
      <c r="D201" s="19"/>
      <c r="E201" s="19"/>
      <c r="F201" s="19"/>
      <c r="G201" s="19"/>
      <c r="H201" s="19"/>
    </row>
    <row r="202" spans="1:8" ht="15" hidden="1" customHeight="1" outlineLevel="1">
      <c r="B202" s="14" t="s">
        <v>116</v>
      </c>
      <c r="D202" s="19"/>
      <c r="E202" s="19"/>
      <c r="F202" s="19"/>
      <c r="G202" s="19"/>
      <c r="H202" s="19"/>
    </row>
    <row r="203" spans="1:8" ht="15" hidden="1" customHeight="1" outlineLevel="1">
      <c r="B203" s="14" t="s">
        <v>117</v>
      </c>
      <c r="D203" s="92"/>
      <c r="E203" s="92"/>
      <c r="F203" s="92"/>
      <c r="G203" s="92"/>
      <c r="H203" s="92"/>
    </row>
    <row r="204" spans="1:8" ht="15" hidden="1" customHeight="1" outlineLevel="1"/>
    <row r="205" spans="1:8" ht="15" hidden="1" customHeight="1" outlineLevel="1"/>
    <row r="206" spans="1:8" ht="15" hidden="1" customHeight="1" outlineLevel="1">
      <c r="A206" s="4" t="s">
        <v>29</v>
      </c>
      <c r="B206" s="93" t="s">
        <v>30</v>
      </c>
      <c r="C206" s="93"/>
      <c r="D206" s="93"/>
      <c r="E206" s="93"/>
      <c r="G206" s="94" t="s">
        <v>64</v>
      </c>
      <c r="H206" s="94"/>
    </row>
    <row r="207" spans="1:8" ht="15" hidden="1" customHeight="1" outlineLevel="1"/>
    <row r="208" spans="1:8" ht="15" hidden="1" customHeight="1" outlineLevel="1"/>
    <row r="209" spans="1:8" ht="15" hidden="1" customHeight="1" outlineLevel="1"/>
    <row r="210" spans="1:8" ht="15" hidden="1" customHeight="1" outlineLevel="1"/>
    <row r="211" spans="1:8" ht="15" hidden="1" customHeight="1" outlineLevel="1"/>
    <row r="212" spans="1:8" ht="15" hidden="1" customHeight="1" outlineLevel="1"/>
    <row r="213" spans="1:8" ht="15" hidden="1" customHeight="1" outlineLevel="1"/>
    <row r="214" spans="1:8" ht="15" hidden="1" customHeight="1" outlineLevel="1"/>
    <row r="215" spans="1:8" ht="15" hidden="1" customHeight="1" outlineLevel="1"/>
    <row r="216" spans="1:8" ht="15" hidden="1" customHeight="1" outlineLevel="1"/>
    <row r="217" spans="1:8" ht="15" hidden="1" customHeight="1" outlineLevel="1"/>
    <row r="218" spans="1:8" ht="15" hidden="1" customHeight="1" outlineLevel="1"/>
    <row r="219" spans="1:8" ht="15" hidden="1" customHeight="1" outlineLevel="1"/>
    <row r="220" spans="1:8" ht="15" hidden="1" customHeight="1" outlineLevel="1"/>
    <row r="221" spans="1:8" ht="15" hidden="1" customHeight="1" outlineLevel="1"/>
    <row r="222" spans="1:8" ht="15" hidden="1" customHeight="1" outlineLevel="1"/>
    <row r="223" spans="1:8" ht="15" hidden="1" customHeight="1" outlineLevel="1"/>
    <row r="224" spans="1:8" ht="15" hidden="1" customHeight="1" outlineLevel="1">
      <c r="A224" s="3" t="s">
        <v>29</v>
      </c>
      <c r="B224" s="21"/>
      <c r="C224" s="21"/>
      <c r="D224" s="21"/>
      <c r="E224" s="21"/>
      <c r="F224" s="21"/>
      <c r="G224" s="21"/>
      <c r="H224" s="21"/>
    </row>
    <row r="225" spans="1:8" ht="15" hidden="1" customHeight="1" collapsed="1"/>
    <row r="227" spans="1:8" s="4" customFormat="1" ht="15" customHeight="1">
      <c r="A227" s="4" t="s">
        <v>29</v>
      </c>
      <c r="B227" s="99" t="s">
        <v>118</v>
      </c>
      <c r="C227" s="5"/>
      <c r="D227" s="5"/>
      <c r="E227" s="5"/>
      <c r="F227" s="5"/>
      <c r="G227" s="5"/>
      <c r="H227" s="5"/>
    </row>
    <row r="229" spans="1:8" ht="15" customHeight="1">
      <c r="B229" s="100" t="s">
        <v>31</v>
      </c>
      <c r="C229" s="101"/>
      <c r="D229" s="102" t="s">
        <v>2</v>
      </c>
      <c r="E229" s="102" t="s">
        <v>3</v>
      </c>
      <c r="F229" s="102" t="s">
        <v>4</v>
      </c>
      <c r="G229" s="102" t="s">
        <v>5</v>
      </c>
      <c r="H229" s="102" t="s">
        <v>6</v>
      </c>
    </row>
    <row r="230" spans="1:8" ht="15" customHeight="1">
      <c r="B230" s="104"/>
      <c r="C230" s="104"/>
      <c r="D230" s="104"/>
      <c r="E230" s="104"/>
      <c r="F230" s="104"/>
      <c r="G230" s="104"/>
      <c r="H230" s="104"/>
    </row>
    <row r="231" spans="1:8" ht="15" customHeight="1">
      <c r="B231" s="107" t="s">
        <v>119</v>
      </c>
      <c r="C231" s="104"/>
      <c r="D231" s="115">
        <v>2500000</v>
      </c>
      <c r="E231" s="115">
        <v>2900000</v>
      </c>
      <c r="F231" s="115">
        <v>3450000</v>
      </c>
      <c r="G231" s="115">
        <v>4000000</v>
      </c>
      <c r="H231" s="115">
        <v>4550000</v>
      </c>
    </row>
    <row r="232" spans="1:8" ht="15" customHeight="1">
      <c r="B232" s="107" t="s">
        <v>120</v>
      </c>
      <c r="C232" s="104"/>
      <c r="D232" s="115">
        <v>500000</v>
      </c>
      <c r="E232" s="115">
        <v>700000</v>
      </c>
      <c r="F232" s="115">
        <v>900000</v>
      </c>
      <c r="G232" s="115">
        <v>1000000</v>
      </c>
      <c r="H232" s="115">
        <v>1100000</v>
      </c>
    </row>
    <row r="233" spans="1:8" ht="15" customHeight="1">
      <c r="B233" s="107" t="s">
        <v>121</v>
      </c>
      <c r="C233" s="104"/>
      <c r="D233" s="116">
        <v>800000</v>
      </c>
      <c r="E233" s="116">
        <v>1000000</v>
      </c>
      <c r="F233" s="116">
        <v>1200000</v>
      </c>
      <c r="G233" s="116">
        <v>1400000</v>
      </c>
      <c r="H233" s="116">
        <v>1600000</v>
      </c>
    </row>
    <row r="234" spans="1:8" s="6" customFormat="1" ht="15" customHeight="1">
      <c r="B234" s="106" t="s">
        <v>122</v>
      </c>
      <c r="C234" s="103"/>
      <c r="D234" s="117">
        <f>SUM(D231:D233)</f>
        <v>3800000</v>
      </c>
      <c r="E234" s="117">
        <f t="shared" ref="E234:H234" si="44">SUM(E231:E233)</f>
        <v>4600000</v>
      </c>
      <c r="F234" s="117">
        <f t="shared" si="44"/>
        <v>5550000</v>
      </c>
      <c r="G234" s="117">
        <f t="shared" si="44"/>
        <v>6400000</v>
      </c>
      <c r="H234" s="117">
        <f t="shared" si="44"/>
        <v>7250000</v>
      </c>
    </row>
  </sheetData>
  <phoneticPr fontId="22" type="noConversion"/>
  <conditionalFormatting sqref="D84:H84">
    <cfRule type="expression" dxfId="0" priority="1">
      <formula>D$84&lt;&gt;0</formula>
    </cfRule>
  </conditionalFormatting>
  <printOptions horizontalCentered="1"/>
  <pageMargins left="0.11799999999999999" right="0.11799999999999999" top="0.11799999999999999" bottom="0.11799999999999999" header="0.11799999999999999" footer="0.11799999999999999"/>
  <pageSetup scale="86" orientation="landscape" r:id="rId1"/>
  <headerFooter>
    <oddFooter>&amp;L&amp;"Open Sans,Bold"&amp;K002060Introduction to 3-Statement Modeling&amp;C&amp;"Open Sans,Bold"&amp;K002060Page &amp;P of &amp;N&amp;R&amp;"Open Sans,Bold"&amp;K002060&amp;G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14B88540A327449DC28A3B30C0AE3B" ma:contentTypeVersion="8" ma:contentTypeDescription="Create a new document." ma:contentTypeScope="" ma:versionID="f06aaef44e7af1debf599952dfb0f3d6">
  <xsd:schema xmlns:xsd="http://www.w3.org/2001/XMLSchema" xmlns:xs="http://www.w3.org/2001/XMLSchema" xmlns:p="http://schemas.microsoft.com/office/2006/metadata/properties" xmlns:ns2="daefea9a-825f-458f-b7e8-8684c71e7b2f" targetNamespace="http://schemas.microsoft.com/office/2006/metadata/properties" ma:root="true" ma:fieldsID="38fa2828b9bd97681938a6400d78c8c8" ns2:_="">
    <xsd:import namespace="daefea9a-825f-458f-b7e8-8684c71e7b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fea9a-825f-458f-b7e8-8684c71e7b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C15911-8DA3-455B-A753-09ECEBFA35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CFBBCCB-E0E4-4F47-B148-952E28EEDCF7}">
  <ds:schemaRefs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daefea9a-825f-458f-b7e8-8684c71e7b2f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5BA64B7-86ED-4D7C-AC53-B574A5FC227F}"/>
</file>

<file path=docMetadata/LabelInfo.xml><?xml version="1.0" encoding="utf-8"?>
<clbl:labelList xmlns:clbl="http://schemas.microsoft.com/office/2020/mipLabelMetadata">
  <clbl:label id="{14bb2b67-4cd3-42cf-a5c3-a63aaf5245ac}" enabled="0" method="" siteId="{14bb2b67-4cd3-42cf-a5c3-a63aaf5245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 Assumptions RJPP</vt:lpstr>
      <vt:lpstr>Operasional</vt:lpstr>
      <vt:lpstr>Finansial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Jethro Hotbatahi Hasoloan</dc:creator>
  <cp:keywords/>
  <dc:description/>
  <cp:lastModifiedBy>Irfan Taufik Rau</cp:lastModifiedBy>
  <cp:revision/>
  <dcterms:created xsi:type="dcterms:W3CDTF">2026-10-22T08:30:42Z</dcterms:created>
  <dcterms:modified xsi:type="dcterms:W3CDTF">2026-10-23T10:55:38Z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  <property fmtid="{D5CDD505-2E9C-101B-9397-08002B2CF9AE}" pid="3" name="ContentTypeId">
    <vt:lpwstr>0x0101003514B88540A327449DC28A3B30C0AE3B</vt:lpwstr>
  </property>
</Properties>
</file>